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1temizbi\Desktop\"/>
    </mc:Choice>
  </mc:AlternateContent>
  <xr:revisionPtr revIDLastSave="0" documentId="13_ncr:1_{A751C14D-AD27-46E6-8C6F-AD0406FD14CC}" xr6:coauthVersionLast="47" xr6:coauthVersionMax="47" xr10:uidLastSave="{00000000-0000-0000-0000-000000000000}"/>
  <bookViews>
    <workbookView xWindow="-120" yWindow="-120" windowWidth="20730" windowHeight="11160" tabRatio="750" activeTab="12" xr2:uid="{59C5DF22-E803-4539-AC7F-0BFC79CD81E7}"/>
  </bookViews>
  <sheets>
    <sheet name="Ana Sayfa" sheetId="1" r:id="rId1"/>
    <sheet name="Ocak" sheetId="2" r:id="rId2"/>
    <sheet name="Şubat" sheetId="3" r:id="rId3"/>
    <sheet name="Mart" sheetId="4" r:id="rId4"/>
    <sheet name="Nisan" sheetId="5" r:id="rId5"/>
    <sheet name="Mayıs" sheetId="6" r:id="rId6"/>
    <sheet name="Haziran" sheetId="7" r:id="rId7"/>
    <sheet name="Temmuz" sheetId="8" r:id="rId8"/>
    <sheet name="Ağustos" sheetId="9" r:id="rId9"/>
    <sheet name="Eylül" sheetId="10" r:id="rId10"/>
    <sheet name="Ekim" sheetId="11" r:id="rId11"/>
    <sheet name="Kasım" sheetId="12" r:id="rId12"/>
    <sheet name="Aralık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F12" i="2"/>
  <c r="E12" i="1"/>
  <c r="F18" i="12"/>
  <c r="F16" i="3"/>
  <c r="D9" i="4"/>
  <c r="D9" i="3"/>
  <c r="H13" i="3" s="1"/>
  <c r="L10" i="1" s="1"/>
  <c r="F12" i="3"/>
  <c r="F13" i="3"/>
  <c r="F14" i="3"/>
  <c r="F15" i="3"/>
  <c r="F18" i="3"/>
  <c r="F19" i="3"/>
  <c r="F20" i="3"/>
  <c r="F21" i="3"/>
  <c r="F22" i="3"/>
  <c r="F12" i="4"/>
  <c r="F13" i="4"/>
  <c r="F14" i="4"/>
  <c r="F15" i="4"/>
  <c r="F16" i="4"/>
  <c r="F18" i="4"/>
  <c r="F19" i="4"/>
  <c r="F20" i="4"/>
  <c r="F21" i="4"/>
  <c r="F22" i="4"/>
  <c r="D9" i="5"/>
  <c r="F12" i="5"/>
  <c r="F13" i="5"/>
  <c r="F14" i="5"/>
  <c r="F15" i="5"/>
  <c r="F16" i="5"/>
  <c r="F18" i="5"/>
  <c r="F19" i="5"/>
  <c r="F20" i="5"/>
  <c r="F21" i="5"/>
  <c r="F22" i="5"/>
  <c r="D9" i="6"/>
  <c r="H13" i="6" s="1"/>
  <c r="L13" i="1" s="1"/>
  <c r="F12" i="6"/>
  <c r="F13" i="6"/>
  <c r="F14" i="6"/>
  <c r="F15" i="6"/>
  <c r="F16" i="6"/>
  <c r="F18" i="6"/>
  <c r="F19" i="6"/>
  <c r="F20" i="6"/>
  <c r="F21" i="6"/>
  <c r="F22" i="6"/>
  <c r="D9" i="2"/>
  <c r="H13" i="2" s="1"/>
  <c r="L9" i="1" s="1"/>
  <c r="E22" i="1"/>
  <c r="E21" i="1"/>
  <c r="E20" i="1"/>
  <c r="E19" i="1"/>
  <c r="E18" i="1"/>
  <c r="E16" i="1"/>
  <c r="E15" i="1"/>
  <c r="E14" i="1"/>
  <c r="E13" i="1"/>
  <c r="F22" i="2"/>
  <c r="F21" i="2"/>
  <c r="F20" i="2"/>
  <c r="F19" i="2"/>
  <c r="F18" i="2"/>
  <c r="F22" i="13"/>
  <c r="F21" i="13"/>
  <c r="F20" i="13"/>
  <c r="F19" i="13"/>
  <c r="F18" i="13"/>
  <c r="F22" i="12"/>
  <c r="F21" i="12"/>
  <c r="F20" i="12"/>
  <c r="F19" i="12"/>
  <c r="F22" i="11"/>
  <c r="F21" i="11"/>
  <c r="F20" i="11"/>
  <c r="F19" i="11"/>
  <c r="F18" i="11"/>
  <c r="F22" i="10"/>
  <c r="F21" i="10"/>
  <c r="F20" i="10"/>
  <c r="F19" i="10"/>
  <c r="F18" i="10"/>
  <c r="F22" i="9"/>
  <c r="F21" i="9"/>
  <c r="F20" i="9"/>
  <c r="F19" i="9"/>
  <c r="F18" i="9"/>
  <c r="F22" i="8"/>
  <c r="F21" i="8"/>
  <c r="F20" i="8"/>
  <c r="F19" i="8"/>
  <c r="F18" i="8"/>
  <c r="F22" i="7"/>
  <c r="F21" i="7"/>
  <c r="F20" i="7"/>
  <c r="F19" i="7"/>
  <c r="F18" i="7"/>
  <c r="F16" i="13"/>
  <c r="F15" i="13"/>
  <c r="F14" i="13"/>
  <c r="F13" i="13"/>
  <c r="F12" i="13"/>
  <c r="F16" i="12"/>
  <c r="F15" i="12"/>
  <c r="F14" i="12"/>
  <c r="F13" i="12"/>
  <c r="F12" i="12"/>
  <c r="F16" i="11"/>
  <c r="F15" i="11"/>
  <c r="F14" i="11"/>
  <c r="F13" i="11"/>
  <c r="F12" i="11"/>
  <c r="F16" i="10"/>
  <c r="F15" i="10"/>
  <c r="F14" i="10"/>
  <c r="F13" i="10"/>
  <c r="F12" i="10"/>
  <c r="F16" i="9"/>
  <c r="F15" i="9"/>
  <c r="F14" i="9"/>
  <c r="F13" i="9"/>
  <c r="F12" i="9"/>
  <c r="F16" i="8"/>
  <c r="F15" i="8"/>
  <c r="F14" i="8"/>
  <c r="F13" i="8"/>
  <c r="F12" i="8"/>
  <c r="F16" i="7"/>
  <c r="F15" i="7"/>
  <c r="F14" i="7"/>
  <c r="F13" i="7"/>
  <c r="F12" i="7"/>
  <c r="F13" i="2"/>
  <c r="F14" i="2"/>
  <c r="F15" i="2"/>
  <c r="F16" i="2"/>
  <c r="D9" i="13"/>
  <c r="H13" i="13" s="1"/>
  <c r="L20" i="1" s="1"/>
  <c r="D9" i="12"/>
  <c r="H13" i="12" s="1"/>
  <c r="L19" i="1" s="1"/>
  <c r="D9" i="11"/>
  <c r="H13" i="11" s="1"/>
  <c r="L18" i="1" s="1"/>
  <c r="D9" i="10"/>
  <c r="H13" i="10" s="1"/>
  <c r="L17" i="1" s="1"/>
  <c r="D9" i="9"/>
  <c r="H13" i="9" s="1"/>
  <c r="L16" i="1" s="1"/>
  <c r="D9" i="8"/>
  <c r="H13" i="8" s="1"/>
  <c r="L15" i="1" s="1"/>
  <c r="D9" i="7"/>
  <c r="H13" i="7" s="1"/>
  <c r="L14" i="1" s="1"/>
  <c r="D9" i="1" l="1"/>
  <c r="D10" i="1" s="1"/>
  <c r="H13" i="5"/>
  <c r="L12" i="1" s="1"/>
  <c r="H13" i="4"/>
  <c r="L11" i="1" s="1"/>
  <c r="D10" i="2"/>
  <c r="D7" i="3" s="1"/>
  <c r="D10" i="3" s="1"/>
  <c r="D7" i="4" s="1"/>
  <c r="D10" i="4" s="1"/>
  <c r="D7" i="5" s="1"/>
  <c r="D10" i="5" s="1"/>
  <c r="D7" i="6" s="1"/>
  <c r="D10" i="6" s="1"/>
  <c r="D7" i="7" l="1"/>
  <c r="D10" i="7" l="1"/>
  <c r="D7" i="8" s="1"/>
  <c r="D10" i="8" l="1"/>
  <c r="D7" i="9" s="1"/>
  <c r="D10" i="9" l="1"/>
  <c r="D7" i="10" s="1"/>
  <c r="D10" i="10" s="1"/>
  <c r="D7" i="11" s="1"/>
  <c r="D10" i="11" s="1"/>
  <c r="D7" i="12" s="1"/>
  <c r="D10" i="12" s="1"/>
  <c r="D7" i="13" s="1"/>
  <c r="D10" i="13" s="1"/>
</calcChain>
</file>

<file path=xl/sharedStrings.xml><?xml version="1.0" encoding="utf-8"?>
<sst xmlns="http://schemas.openxmlformats.org/spreadsheetml/2006/main" count="368" uniqueCount="50">
  <si>
    <t>Dock</t>
  </si>
  <si>
    <t>IP Tel</t>
  </si>
  <si>
    <t>Laptop</t>
  </si>
  <si>
    <t>Desktop</t>
  </si>
  <si>
    <t>HOME</t>
  </si>
  <si>
    <t>DECEMBER</t>
  </si>
  <si>
    <t>NOVEMBER</t>
  </si>
  <si>
    <t>OCTOBER</t>
  </si>
  <si>
    <t>AUGUST</t>
  </si>
  <si>
    <t>JULY</t>
  </si>
  <si>
    <t>JUNE</t>
  </si>
  <si>
    <t>MAY</t>
  </si>
  <si>
    <t>APRİL</t>
  </si>
  <si>
    <t>MARCH</t>
  </si>
  <si>
    <t>JANUARY</t>
  </si>
  <si>
    <t>Price</t>
  </si>
  <si>
    <t>Expenses</t>
  </si>
  <si>
    <t>Amount</t>
  </si>
  <si>
    <t>Phone</t>
  </si>
  <si>
    <t>Pen</t>
  </si>
  <si>
    <t>Ink</t>
  </si>
  <si>
    <t>Budget</t>
  </si>
  <si>
    <t>Food</t>
  </si>
  <si>
    <t>Materials</t>
  </si>
  <si>
    <t>Total</t>
  </si>
  <si>
    <t>A4 Paper</t>
  </si>
  <si>
    <t>A5 Paper</t>
  </si>
  <si>
    <t>File</t>
  </si>
  <si>
    <t>SEPTEMBER</t>
  </si>
  <si>
    <t>Total Budget</t>
  </si>
  <si>
    <t>Total Food</t>
  </si>
  <si>
    <t>Total Material</t>
  </si>
  <si>
    <t>Total Amount</t>
  </si>
  <si>
    <t xml:space="preserve">Budget 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</si>
  <si>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</si>
  <si>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</si>
  <si>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</si>
  <si>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</si>
  <si>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</si>
  <si>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</si>
  <si>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</si>
  <si>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</si>
  <si>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</si>
  <si>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</si>
  <si>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</si>
  <si>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</si>
  <si>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~~~~</t>
  </si>
  <si>
    <t>Cost</t>
  </si>
  <si>
    <t>A</t>
  </si>
  <si>
    <t>FEBRUARY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</si>
</sst>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sz val="28"/>
      <color theme="0" tint="-4.9989318521683403E-2"/>
      <name val="Calibri"/>
      <family val="2"/>
      <charset val="162"/>
      <scheme val="minor"/>
    </font>
    <font>
      <sz val="28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11"/>
      <color theme="4" tint="0.79998168889431442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0" borderId="1" xfId="0" applyBorder="1"/>
    <xf numFmtId="0" fontId="0" fillId="4" borderId="3" xfId="0" applyFill="1" applyBorder="1"/>
    <xf numFmtId="0" fontId="0" fillId="0" borderId="3" xfId="0" applyBorder="1"/>
    <xf numFmtId="0" fontId="1" fillId="5" borderId="0" xfId="0" applyFont="1" applyFill="1"/>
    <xf numFmtId="0" fontId="0" fillId="5" borderId="0" xfId="0" applyFill="1"/>
    <xf numFmtId="0" fontId="1" fillId="6" borderId="0" xfId="0" applyFont="1" applyFill="1"/>
    <xf numFmtId="0" fontId="0" fillId="6" borderId="0" xfId="0" applyFill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7" borderId="4" xfId="0" applyFont="1" applyFill="1" applyBorder="1"/>
    <xf numFmtId="0" fontId="4" fillId="7" borderId="5" xfId="0" applyFont="1" applyFill="1" applyBorder="1"/>
    <xf numFmtId="0" fontId="0" fillId="4" borderId="7" xfId="0" applyFill="1" applyBorder="1"/>
    <xf numFmtId="0" fontId="0" fillId="4" borderId="0" xfId="0" applyFill="1"/>
    <xf numFmtId="0" fontId="0" fillId="4" borderId="8" xfId="0" applyFill="1" applyBorder="1"/>
    <xf numFmtId="0" fontId="4" fillId="7" borderId="6" xfId="0" applyFont="1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0" borderId="7" xfId="0" applyBorder="1"/>
    <xf numFmtId="0" fontId="4" fillId="7" borderId="9" xfId="0" applyFont="1" applyFill="1" applyBorder="1"/>
    <xf numFmtId="0" fontId="4" fillId="7" borderId="10" xfId="0" applyFont="1" applyFill="1" applyBorder="1"/>
    <xf numFmtId="0" fontId="4" fillId="7" borderId="11" xfId="0" applyFont="1" applyFill="1" applyBorder="1"/>
    <xf numFmtId="0" fontId="0" fillId="6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9" borderId="1" xfId="0" applyFill="1" applyBorder="1"/>
    <xf numFmtId="0" fontId="0" fillId="9" borderId="3" xfId="0" applyFill="1" applyBorder="1"/>
    <xf numFmtId="0" fontId="0" fillId="9" borderId="3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4" borderId="10" xfId="0" applyFill="1" applyBorder="1"/>
    <xf numFmtId="0" fontId="0" fillId="9" borderId="10" xfId="0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4" fillId="6" borderId="4" xfId="0" applyFont="1" applyFill="1" applyBorder="1"/>
    <xf numFmtId="0" fontId="4" fillId="6" borderId="5" xfId="0" applyFont="1" applyFill="1" applyBorder="1"/>
    <xf numFmtId="0" fontId="4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0" fillId="9" borderId="4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7" fillId="7" borderId="5" xfId="0" applyFont="1" applyFill="1" applyBorder="1"/>
    <xf numFmtId="0" fontId="0" fillId="4" borderId="2" xfId="0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0" borderId="0" xfId="0" applyFont="1"/>
    <xf numFmtId="0" fontId="5" fillId="0" borderId="0" xfId="0" applyFont="1"/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Total 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'Ana Sayfa'!$D$6</c:f>
              <c:strCache>
                <c:ptCount val="1"/>
                <c:pt idx="0">
                  <c:v>Price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'Ana Sayfa'!$C$7:$C$10</c:f>
              <c:strCache>
                <c:ptCount val="4"/>
                <c:pt idx="0">
                  <c:v>Total Budget</c:v>
                </c:pt>
                <c:pt idx="1">
                  <c:v>Total Food</c:v>
                </c:pt>
                <c:pt idx="2">
                  <c:v>Total Material</c:v>
                </c:pt>
                <c:pt idx="3">
                  <c:v>Total</c:v>
                </c:pt>
              </c:strCache>
            </c:strRef>
          </c:cat>
          <c:val>
            <c:numRef>
              <c:f>'Ana Sayfa'!$D$7:$D$10</c:f>
              <c:numCache>
                <c:formatCode>General</c:formatCode>
                <c:ptCount val="4"/>
                <c:pt idx="0">
                  <c:v>300000</c:v>
                </c:pt>
                <c:pt idx="1">
                  <c:v>27000</c:v>
                </c:pt>
                <c:pt idx="2">
                  <c:v>269609</c:v>
                </c:pt>
                <c:pt idx="3">
                  <c:v>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9-400D-B214-AC1D7CB9B948}"/>
            </c:ext>
          </c:extLst>
        </c:ser>
        <c:ser>
          <c:idx val="1"/>
          <c:order val="1"/>
          <c:tx>
            <c:strRef>
              <c:f>'Ana Sayfa'!$E$6</c:f>
              <c:strCache>
                <c:ptCount val="1"/>
                <c:pt idx="0">
                  <c:v>Total Amount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'Ana Sayfa'!$C$7:$C$10</c:f>
              <c:strCache>
                <c:ptCount val="4"/>
                <c:pt idx="0">
                  <c:v>Total Budget</c:v>
                </c:pt>
                <c:pt idx="1">
                  <c:v>Total Food</c:v>
                </c:pt>
                <c:pt idx="2">
                  <c:v>Total Material</c:v>
                </c:pt>
                <c:pt idx="3">
                  <c:v>Total</c:v>
                </c:pt>
              </c:strCache>
            </c:strRef>
          </c:cat>
          <c:val>
            <c:numRef>
              <c:f>'Ana Sayfa'!$E$7:$E$10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89-400D-B214-AC1D7CB9B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85115456"/>
        <c:axId val="163839952"/>
        <c:axId val="0"/>
      </c:bar3DChart>
      <c:catAx>
        <c:axId val="208511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63839952"/>
        <c:crosses val="autoZero"/>
        <c:auto val="1"/>
        <c:lblAlgn val="ctr"/>
        <c:lblOffset val="100"/>
        <c:noMultiLvlLbl val="0"/>
      </c:catAx>
      <c:valAx>
        <c:axId val="16383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08511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Total</a:t>
            </a:r>
            <a:r>
              <a:rPr lang="tr-TR" baseline="0"/>
              <a:t> Expense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'Ana Sayfa'!$K$9:$K$20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'Ana Sayfa'!$L$9:$L$20</c:f>
              <c:numCache>
                <c:formatCode>General</c:formatCode>
                <c:ptCount val="12"/>
                <c:pt idx="0">
                  <c:v>30370</c:v>
                </c:pt>
                <c:pt idx="1">
                  <c:v>40112</c:v>
                </c:pt>
                <c:pt idx="2">
                  <c:v>27219</c:v>
                </c:pt>
                <c:pt idx="3">
                  <c:v>19334</c:v>
                </c:pt>
                <c:pt idx="4">
                  <c:v>71040</c:v>
                </c:pt>
                <c:pt idx="5">
                  <c:v>16710</c:v>
                </c:pt>
                <c:pt idx="6">
                  <c:v>17605</c:v>
                </c:pt>
                <c:pt idx="7">
                  <c:v>16652</c:v>
                </c:pt>
                <c:pt idx="8">
                  <c:v>15762</c:v>
                </c:pt>
                <c:pt idx="9">
                  <c:v>16326</c:v>
                </c:pt>
                <c:pt idx="10">
                  <c:v>12859</c:v>
                </c:pt>
                <c:pt idx="11">
                  <c:v>12620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E6-4828-9020-2A414CA70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1741648"/>
        <c:axId val="321226896"/>
        <c:axId val="0"/>
      </c:bar3DChart>
      <c:catAx>
        <c:axId val="23174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21226896"/>
        <c:crosses val="autoZero"/>
        <c:auto val="1"/>
        <c:lblAlgn val="ctr"/>
        <c:lblOffset val="100"/>
        <c:noMultiLvlLbl val="0"/>
      </c:catAx>
      <c:valAx>
        <c:axId val="32122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3174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cap="all" baseline="0">
                <a:effectLst/>
              </a:rPr>
              <a:t>Materıals expense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Ocak!$D$17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AFF-49CA-962D-B40A44B6C0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AFF-49CA-962D-B40A44B6C0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AFF-49CA-962D-B40A44B6C0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AFF-49CA-962D-B40A44B6C0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AFF-49CA-962D-B40A44B6C0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Ocak!$C$18:$C$22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FF-49CA-962D-B40A44B6C0AD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BAFF-49CA-962D-B40A44B6C0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BAFF-49CA-962D-B40A44B6C0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BAFF-49CA-962D-B40A44B6C0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BAFF-49CA-962D-B40A44B6C0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BAFF-49CA-962D-B40A44B6C0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Ocak!$C$18:$C$22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FF-49CA-962D-B40A44B6C0AD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AFF-49CA-962D-B40A44B6C0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BAFF-49CA-962D-B40A44B6C0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BAFF-49CA-962D-B40A44B6C0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BAFF-49CA-962D-B40A44B6C0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BAFF-49CA-962D-B40A44B6C0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Ocak!$C$18:$C$22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AFF-49CA-962D-B40A44B6C0A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cap="all" baseline="0">
                <a:effectLst/>
              </a:rPr>
              <a:t>electronıcs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85-4B27-A85D-312C04AF96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85-4B27-A85D-312C04AF96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85-4B27-A85D-312C04AF96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085-4B27-A85D-312C04AF968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085-4B27-A85D-312C04AF96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Ocak!$C$12:$C$16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85-4B27-A85D-312C04AF968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C-B085-4B27-A85D-312C04AF968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E-B085-4B27-A85D-312C04AF968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0-B085-4B27-A85D-312C04AF968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2-B085-4B27-A85D-312C04AF968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4-B085-4B27-A85D-312C04AF9687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tr-TR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Ocak!$C$12:$C$16</c15:sqref>
                        </c15:formulaRef>
                      </c:ext>
                    </c:extLst>
                    <c:strCache>
                      <c:ptCount val="5"/>
                      <c:pt idx="0">
                        <c:v>Phone</c:v>
                      </c:pt>
                      <c:pt idx="1">
                        <c:v>Dock</c:v>
                      </c:pt>
                      <c:pt idx="2">
                        <c:v>IP Tel</c:v>
                      </c:pt>
                      <c:pt idx="3">
                        <c:v>Laptop</c:v>
                      </c:pt>
                      <c:pt idx="4">
                        <c:v>Desktop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Ocak!$E$12:$E$16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</c:v>
                      </c:pt>
                      <c:pt idx="1">
                        <c:v>4</c:v>
                      </c:pt>
                      <c:pt idx="2">
                        <c:v>10</c:v>
                      </c:pt>
                      <c:pt idx="3">
                        <c:v>3</c:v>
                      </c:pt>
                      <c:pt idx="4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B085-4B27-A85D-312C04AF9687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B085-4B27-A85D-312C04AF968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B085-4B27-A85D-312C04AF968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B085-4B27-A85D-312C04AF968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B085-4B27-A85D-312C04AF968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B085-4B27-A85D-312C04AF9687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tr-TR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Ocak!$C$12:$C$16</c15:sqref>
                        </c15:formulaRef>
                      </c:ext>
                    </c:extLst>
                    <c:strCache>
                      <c:ptCount val="5"/>
                      <c:pt idx="0">
                        <c:v>Phone</c:v>
                      </c:pt>
                      <c:pt idx="1">
                        <c:v>Dock</c:v>
                      </c:pt>
                      <c:pt idx="2">
                        <c:v>IP Tel</c:v>
                      </c:pt>
                      <c:pt idx="3">
                        <c:v>Laptop</c:v>
                      </c:pt>
                      <c:pt idx="4">
                        <c:v>Desktop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Ocak!$F$12:$F$16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3000</c:v>
                      </c:pt>
                      <c:pt idx="4">
                        <c:v>20000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085-4B27-A85D-312C04AF9687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baseline="0"/>
              <a:t>Income - Expense</a:t>
            </a:r>
            <a:endParaRPr lang="tr-TR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Ocak!$C$7:$C$9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Ocak!$D$7:$D$9</c:f>
              <c:numCache>
                <c:formatCode>General</c:formatCode>
                <c:ptCount val="3"/>
                <c:pt idx="0">
                  <c:v>300000</c:v>
                </c:pt>
                <c:pt idx="1">
                  <c:v>5000</c:v>
                </c:pt>
                <c:pt idx="2">
                  <c:v>25370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6-4821-912F-5731B0039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Şubat!$D$17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A3C-4768-8834-A0F6F270AA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A3C-4768-8834-A0F6F270AA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A3C-4768-8834-A0F6F270AA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A3C-4768-8834-A0F6F270AA8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A3C-4768-8834-A0F6F270AA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Şubat!$C$18:$C$22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Şubat!$F$18:$F$22</c:f>
              <c:numCache>
                <c:formatCode>General</c:formatCode>
                <c:ptCount val="5"/>
                <c:pt idx="0">
                  <c:v>69</c:v>
                </c:pt>
                <c:pt idx="1">
                  <c:v>31</c:v>
                </c:pt>
                <c:pt idx="2">
                  <c:v>12</c:v>
                </c:pt>
                <c:pt idx="3">
                  <c:v>10</c:v>
                </c:pt>
                <c:pt idx="4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3C-4768-8834-A0F6F270AA88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8A3C-4768-8834-A0F6F270AA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8A3C-4768-8834-A0F6F270AA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8A3C-4768-8834-A0F6F270AA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8A3C-4768-8834-A0F6F270AA8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8A3C-4768-8834-A0F6F270AA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Şubat!$C$18:$C$22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A3C-4768-8834-A0F6F270AA88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8A3C-4768-8834-A0F6F270AA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8A3C-4768-8834-A0F6F270AA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8A3C-4768-8834-A0F6F270AA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8A3C-4768-8834-A0F6F270AA8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8A3C-4768-8834-A0F6F270AA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Şubat!$C$18:$C$22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A3C-4768-8834-A0F6F270AA8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B3F-4EF2-B47E-F019CBD0DF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B3F-4EF2-B47E-F019CBD0DF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B3F-4EF2-B47E-F019CBD0DF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B3F-4EF2-B47E-F019CBD0DF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B3F-4EF2-B47E-F019CBD0DF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Şubat!$C$12:$C$16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A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Şubat!$F$12:$F$16</c:f>
              <c:numCache>
                <c:formatCode>General</c:formatCode>
                <c:ptCount val="5"/>
                <c:pt idx="0">
                  <c:v>450</c:v>
                </c:pt>
                <c:pt idx="1">
                  <c:v>1000</c:v>
                </c:pt>
                <c:pt idx="2">
                  <c:v>500</c:v>
                </c:pt>
                <c:pt idx="3">
                  <c:v>6000</c:v>
                </c:pt>
                <c:pt idx="4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3F-4EF2-B47E-F019CBD0DFEA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4B3F-4EF2-B47E-F019CBD0DF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4B3F-4EF2-B47E-F019CBD0DF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4B3F-4EF2-B47E-F019CBD0DF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4B3F-4EF2-B47E-F019CBD0DF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4B3F-4EF2-B47E-F019CBD0DF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Şubat!$C$12:$C$16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A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B3F-4EF2-B47E-F019CBD0DFEA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B3F-4EF2-B47E-F019CBD0DF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4B3F-4EF2-B47E-F019CBD0DF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4B3F-4EF2-B47E-F019CBD0DF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4B3F-4EF2-B47E-F019CBD0DF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4B3F-4EF2-B47E-F019CBD0DF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Şubat!$C$12:$C$16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A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B3F-4EF2-B47E-F019CBD0DFE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Şubat!$C$7:$C$9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Şubat!$D$7:$D$9</c:f>
              <c:numCache>
                <c:formatCode>General</c:formatCode>
                <c:ptCount val="3"/>
                <c:pt idx="0">
                  <c:v>269630</c:v>
                </c:pt>
                <c:pt idx="1">
                  <c:v>2000</c:v>
                </c:pt>
                <c:pt idx="2">
                  <c:v>38112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35-4618-B5FB-176531FE0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Mart!$D$17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29E-4D15-B891-611070665D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29E-4D15-B891-611070665D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29E-4D15-B891-611070665D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29E-4D15-B891-611070665D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29E-4D15-B891-611070665D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Mart!$C$18:$C$22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Mart!$F$18:$F$22</c:f>
              <c:numCache>
                <c:formatCode>General</c:formatCode>
                <c:ptCount val="5"/>
                <c:pt idx="0">
                  <c:v>20</c:v>
                </c:pt>
                <c:pt idx="1">
                  <c:v>9</c:v>
                </c:pt>
                <c:pt idx="2">
                  <c:v>200</c:v>
                </c:pt>
                <c:pt idx="3">
                  <c:v>200</c:v>
                </c:pt>
                <c:pt idx="4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29E-4D15-B891-611070665DD8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329E-4D15-B891-611070665D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329E-4D15-B891-611070665D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329E-4D15-B891-611070665D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329E-4D15-B891-611070665D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329E-4D15-B891-611070665D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Mart!$C$18:$C$22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29E-4D15-B891-611070665DD8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329E-4D15-B891-611070665D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329E-4D15-B891-611070665D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329E-4D15-B891-611070665D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329E-4D15-B891-611070665D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329E-4D15-B891-611070665D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Mart!$C$18:$C$22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29E-4D15-B891-611070665DD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370-483C-86CB-86AB59E09E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370-483C-86CB-86AB59E09E3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370-483C-86CB-86AB59E09E3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370-483C-86CB-86AB59E09E3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370-483C-86CB-86AB59E09E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Mart!$C$12:$C$16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Mart!$F$12:$F$16</c:f>
              <c:numCache>
                <c:formatCode>General</c:formatCode>
                <c:ptCount val="5"/>
                <c:pt idx="0">
                  <c:v>1400</c:v>
                </c:pt>
                <c:pt idx="1">
                  <c:v>1500</c:v>
                </c:pt>
                <c:pt idx="2">
                  <c:v>50</c:v>
                </c:pt>
                <c:pt idx="3">
                  <c:v>15760</c:v>
                </c:pt>
                <c:pt idx="4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70-483C-86CB-86AB59E09E37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5370-483C-86CB-86AB59E09E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5370-483C-86CB-86AB59E09E3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5370-483C-86CB-86AB59E09E3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5370-483C-86CB-86AB59E09E3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5370-483C-86CB-86AB59E09E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Mart!$C$12:$C$16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370-483C-86CB-86AB59E09E37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5370-483C-86CB-86AB59E09E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5370-483C-86CB-86AB59E09E3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5370-483C-86CB-86AB59E09E3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5370-483C-86CB-86AB59E09E3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5370-483C-86CB-86AB59E09E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Mart!$C$12:$C$16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370-483C-86CB-86AB59E09E3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Mart!$C$7:$C$9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Mart!$D$7:$D$9</c:f>
              <c:numCache>
                <c:formatCode>General</c:formatCode>
                <c:ptCount val="3"/>
                <c:pt idx="0">
                  <c:v>229518</c:v>
                </c:pt>
                <c:pt idx="1">
                  <c:v>2000</c:v>
                </c:pt>
                <c:pt idx="2">
                  <c:v>25219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A-43C5-824A-B77653EE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Nisan!$D$17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0FC-451E-89BF-A662CBA5AA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0FC-451E-89BF-A662CBA5AA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0FC-451E-89BF-A662CBA5AA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0FC-451E-89BF-A662CBA5AA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0FC-451E-89BF-A662CBA5AA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Nisan!$C$18:$C$22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Nisan!$F$18:$F$22</c:f>
              <c:numCache>
                <c:formatCode>General</c:formatCode>
                <c:ptCount val="5"/>
                <c:pt idx="0">
                  <c:v>900</c:v>
                </c:pt>
                <c:pt idx="1">
                  <c:v>3</c:v>
                </c:pt>
                <c:pt idx="2">
                  <c:v>16</c:v>
                </c:pt>
                <c:pt idx="3">
                  <c:v>100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0FC-451E-89BF-A662CBA5AA33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60FC-451E-89BF-A662CBA5AA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60FC-451E-89BF-A662CBA5AA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60FC-451E-89BF-A662CBA5AA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60FC-451E-89BF-A662CBA5AA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60FC-451E-89BF-A662CBA5AA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Nisan!$C$18:$C$22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0FC-451E-89BF-A662CBA5AA33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60FC-451E-89BF-A662CBA5AA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60FC-451E-89BF-A662CBA5AA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60FC-451E-89BF-A662CBA5AA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60FC-451E-89BF-A662CBA5AA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60FC-451E-89BF-A662CBA5AA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Nisan!$C$18:$C$22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0FC-451E-89BF-A662CBA5AA3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22C-45F6-BD31-93DAC3E738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22C-45F6-BD31-93DAC3E738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22C-45F6-BD31-93DAC3E738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22C-45F6-BD31-93DAC3E738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22C-45F6-BD31-93DAC3E738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Nisan!$C$12:$C$16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Nisan!$F$12:$F$16</c:f>
              <c:numCache>
                <c:formatCode>General</c:formatCode>
                <c:ptCount val="5"/>
                <c:pt idx="0">
                  <c:v>100</c:v>
                </c:pt>
                <c:pt idx="1">
                  <c:v>500</c:v>
                </c:pt>
                <c:pt idx="2">
                  <c:v>30</c:v>
                </c:pt>
                <c:pt idx="3">
                  <c:v>4000</c:v>
                </c:pt>
                <c:pt idx="4">
                  <c:v>11665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2C-45F6-BD31-93DAC3E738C6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622C-45F6-BD31-93DAC3E738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622C-45F6-BD31-93DAC3E738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622C-45F6-BD31-93DAC3E738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622C-45F6-BD31-93DAC3E738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622C-45F6-BD31-93DAC3E738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Nisan!$C$12:$C$16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22C-45F6-BD31-93DAC3E738C6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622C-45F6-BD31-93DAC3E738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622C-45F6-BD31-93DAC3E738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622C-45F6-BD31-93DAC3E738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622C-45F6-BD31-93DAC3E738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622C-45F6-BD31-93DAC3E738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Nisan!$C$12:$C$16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22C-45F6-BD31-93DAC3E738C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Nisan!$C$7:$C$9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Nisan!$D$7:$D$9</c:f>
              <c:numCache>
                <c:formatCode>General</c:formatCode>
                <c:ptCount val="3"/>
                <c:pt idx="0">
                  <c:v>202299</c:v>
                </c:pt>
                <c:pt idx="1">
                  <c:v>2000</c:v>
                </c:pt>
                <c:pt idx="2">
                  <c:v>17334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8B-484A-ABDF-A760F2C2C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Mayıs!$D$17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944-4107-AF31-11B0676605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944-4107-AF31-11B0676605F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944-4107-AF31-11B0676605F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944-4107-AF31-11B0676605F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944-4107-AF31-11B0676605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Mayıs!$C$18:$C$22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Mayıs!$F$18:$F$22</c:f>
              <c:numCache>
                <c:formatCode>General</c:formatCode>
                <c:ptCount val="5"/>
                <c:pt idx="0">
                  <c:v>10</c:v>
                </c:pt>
                <c:pt idx="1">
                  <c:v>5000</c:v>
                </c:pt>
                <c:pt idx="2">
                  <c:v>12000</c:v>
                </c:pt>
                <c:pt idx="3">
                  <c:v>10000</c:v>
                </c:pt>
                <c:pt idx="4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944-4107-AF31-11B0676605F3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D944-4107-AF31-11B0676605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D944-4107-AF31-11B0676605F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D944-4107-AF31-11B0676605F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D944-4107-AF31-11B0676605F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D944-4107-AF31-11B0676605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Mayıs!$C$18:$C$22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944-4107-AF31-11B0676605F3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D944-4107-AF31-11B0676605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D944-4107-AF31-11B0676605F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D944-4107-AF31-11B0676605F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D944-4107-AF31-11B0676605F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D944-4107-AF31-11B0676605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Mayıs!$C$18:$C$22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944-4107-AF31-11B0676605F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76E-493F-AF87-06E2B92EDB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76E-493F-AF87-06E2B92EDB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76E-493F-AF87-06E2B92EDB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76E-493F-AF87-06E2B92EDB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76E-493F-AF87-06E2B92EDB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Mayıs!$C$12:$C$16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Mayıs!$F$12:$F$16</c:f>
              <c:numCache>
                <c:formatCode>General</c:formatCode>
                <c:ptCount val="5"/>
                <c:pt idx="0">
                  <c:v>1500</c:v>
                </c:pt>
                <c:pt idx="1">
                  <c:v>2500</c:v>
                </c:pt>
                <c:pt idx="2">
                  <c:v>240</c:v>
                </c:pt>
                <c:pt idx="3">
                  <c:v>13790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76E-493F-AF87-06E2B92EDB67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376E-493F-AF87-06E2B92EDB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376E-493F-AF87-06E2B92EDB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376E-493F-AF87-06E2B92EDB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376E-493F-AF87-06E2B92EDB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376E-493F-AF87-06E2B92EDB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Mayıs!$C$12:$C$16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76E-493F-AF87-06E2B92EDB67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376E-493F-AF87-06E2B92EDB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376E-493F-AF87-06E2B92EDB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376E-493F-AF87-06E2B92EDB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376E-493F-AF87-06E2B92EDB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376E-493F-AF87-06E2B92EDB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Mayıs!$C$12:$C$16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76E-493F-AF87-06E2B92EDB6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Mayıs!$C$7:$C$9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Mayıs!$D$7:$D$9</c:f>
              <c:numCache>
                <c:formatCode>General</c:formatCode>
                <c:ptCount val="3"/>
                <c:pt idx="0">
                  <c:v>182965</c:v>
                </c:pt>
                <c:pt idx="1">
                  <c:v>2000</c:v>
                </c:pt>
                <c:pt idx="2">
                  <c:v>69040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A-42C7-A6AB-99C05EE9A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Haziran!$D$17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A6C-48EB-A639-5685A0CE92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A6C-48EB-A639-5685A0CE92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A6C-48EB-A639-5685A0CE926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A6C-48EB-A639-5685A0CE926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A6C-48EB-A639-5685A0CE92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Haziran!$C$18:$C$22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Haziran!$F$18:$F$22</c:f>
              <c:numCache>
                <c:formatCode>General</c:formatCode>
                <c:ptCount val="5"/>
                <c:pt idx="0">
                  <c:v>6</c:v>
                </c:pt>
                <c:pt idx="1">
                  <c:v>7</c:v>
                </c:pt>
                <c:pt idx="2">
                  <c:v>32</c:v>
                </c:pt>
                <c:pt idx="3">
                  <c:v>45</c:v>
                </c:pt>
                <c:pt idx="4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6C-48EB-A639-5685A0CE926A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DA6C-48EB-A639-5685A0CE92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DA6C-48EB-A639-5685A0CE92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DA6C-48EB-A639-5685A0CE926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DA6C-48EB-A639-5685A0CE926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DA6C-48EB-A639-5685A0CE92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Haziran!$C$18:$C$22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A6C-48EB-A639-5685A0CE926A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DA6C-48EB-A639-5685A0CE92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DA6C-48EB-A639-5685A0CE92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DA6C-48EB-A639-5685A0CE926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DA6C-48EB-A639-5685A0CE926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DA6C-48EB-A639-5685A0CE92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Haziran!$C$18:$C$22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A6C-48EB-A639-5685A0CE926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B41-4456-A60E-2866FC8A36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B41-4456-A60E-2866FC8A36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B41-4456-A60E-2866FC8A36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B41-4456-A60E-2866FC8A36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B41-4456-A60E-2866FC8A36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Haziran!$C$12:$C$16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Haziran!$F$12:$F$16</c:f>
              <c:numCache>
                <c:formatCode>General</c:formatCode>
                <c:ptCount val="5"/>
                <c:pt idx="0">
                  <c:v>50</c:v>
                </c:pt>
                <c:pt idx="1">
                  <c:v>500</c:v>
                </c:pt>
                <c:pt idx="2">
                  <c:v>30</c:v>
                </c:pt>
                <c:pt idx="3">
                  <c:v>4000</c:v>
                </c:pt>
                <c:pt idx="4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41-4456-A60E-2866FC8A3667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8B41-4456-A60E-2866FC8A36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8B41-4456-A60E-2866FC8A36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8B41-4456-A60E-2866FC8A36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8B41-4456-A60E-2866FC8A36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8B41-4456-A60E-2866FC8A36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Haziran!$C$12:$C$16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41-4456-A60E-2866FC8A3667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8B41-4456-A60E-2866FC8A36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8B41-4456-A60E-2866FC8A36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8B41-4456-A60E-2866FC8A36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8B41-4456-A60E-2866FC8A36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8B41-4456-A60E-2866FC8A36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Haziran!$C$12:$C$16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B41-4456-A60E-2866FC8A366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Haziran!$C$7:$C$9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Haziran!$D$7:$D$9</c:f>
              <c:numCache>
                <c:formatCode>General</c:formatCode>
                <c:ptCount val="3"/>
                <c:pt idx="0">
                  <c:v>111925</c:v>
                </c:pt>
                <c:pt idx="1">
                  <c:v>2000</c:v>
                </c:pt>
                <c:pt idx="2">
                  <c:v>14710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D-43E9-93A0-67057ABD0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Temmuz!$D$17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464-49EA-A232-E55ACA597A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464-49EA-A232-E55ACA597AF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464-49EA-A232-E55ACA597AF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464-49EA-A232-E55ACA597AF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464-49EA-A232-E55ACA597A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Temmuz!$C$18:$C$22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Temmuz!$F$18:$F$22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64-49EA-A232-E55ACA597AF8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5464-49EA-A232-E55ACA597A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5464-49EA-A232-E55ACA597AF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5464-49EA-A232-E55ACA597AF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5464-49EA-A232-E55ACA597AF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5464-49EA-A232-E55ACA597A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Temmuz!$C$18:$C$22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464-49EA-A232-E55ACA597AF8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5464-49EA-A232-E55ACA597A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5464-49EA-A232-E55ACA597AF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5464-49EA-A232-E55ACA597AF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5464-49EA-A232-E55ACA597AF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5464-49EA-A232-E55ACA597A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Temmuz!$C$18:$C$22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464-49EA-A232-E55ACA597AF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E42-4512-BFA0-FE72106C97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E42-4512-BFA0-FE72106C97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E42-4512-BFA0-FE72106C97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E42-4512-BFA0-FE72106C97C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E42-4512-BFA0-FE72106C97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Temmuz!$C$12:$C$16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Temmuz!$F$12:$F$16</c:f>
              <c:numCache>
                <c:formatCode>General</c:formatCode>
                <c:ptCount val="5"/>
                <c:pt idx="0">
                  <c:v>20</c:v>
                </c:pt>
                <c:pt idx="1">
                  <c:v>500</c:v>
                </c:pt>
                <c:pt idx="2">
                  <c:v>30</c:v>
                </c:pt>
                <c:pt idx="3">
                  <c:v>5000</c:v>
                </c:pt>
                <c:pt idx="4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42-4512-BFA0-FE72106C97C7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E42-4512-BFA0-FE72106C97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E42-4512-BFA0-FE72106C97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E42-4512-BFA0-FE72106C97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7E42-4512-BFA0-FE72106C97C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7E42-4512-BFA0-FE72106C97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Temmuz!$C$12:$C$16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E42-4512-BFA0-FE72106C97C7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E42-4512-BFA0-FE72106C97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E42-4512-BFA0-FE72106C97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7E42-4512-BFA0-FE72106C97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7E42-4512-BFA0-FE72106C97C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7E42-4512-BFA0-FE72106C97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Temmuz!$C$12:$C$16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E42-4512-BFA0-FE72106C97C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Temmuz!$C$7:$C$9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Temmuz!$D$7:$D$9</c:f>
              <c:numCache>
                <c:formatCode>General</c:formatCode>
                <c:ptCount val="3"/>
                <c:pt idx="0">
                  <c:v>95215</c:v>
                </c:pt>
                <c:pt idx="1">
                  <c:v>2000</c:v>
                </c:pt>
                <c:pt idx="2">
                  <c:v>15605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3A-4642-8EBE-F3AB2FE28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Ağustos!$D$17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A34-4EAA-AD1B-6D7E38BD25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A34-4EAA-AD1B-6D7E38BD25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A34-4EAA-AD1B-6D7E38BD252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A34-4EAA-AD1B-6D7E38BD252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A34-4EAA-AD1B-6D7E38BD25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Ağustos!$C$18:$C$22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Ağustos!$F$18:$F$22</c:f>
              <c:numCache>
                <c:formatCode>General</c:formatCode>
                <c:ptCount val="5"/>
                <c:pt idx="0">
                  <c:v>12</c:v>
                </c:pt>
                <c:pt idx="1">
                  <c:v>2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34-4EAA-AD1B-6D7E38BD252A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4A34-4EAA-AD1B-6D7E38BD25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4A34-4EAA-AD1B-6D7E38BD25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4A34-4EAA-AD1B-6D7E38BD252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4A34-4EAA-AD1B-6D7E38BD252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4A34-4EAA-AD1B-6D7E38BD25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Ağustos!$C$18:$C$22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A34-4EAA-AD1B-6D7E38BD252A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A34-4EAA-AD1B-6D7E38BD25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4A34-4EAA-AD1B-6D7E38BD25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4A34-4EAA-AD1B-6D7E38BD252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4A34-4EAA-AD1B-6D7E38BD252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4A34-4EAA-AD1B-6D7E38BD25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Ağustos!$C$18:$C$22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A34-4EAA-AD1B-6D7E38BD252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7C8-4CC3-9226-4FABB150CE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7C8-4CC3-9226-4FABB150CE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7C8-4CC3-9226-4FABB150CE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7C8-4CC3-9226-4FABB150CE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7C8-4CC3-9226-4FABB150CE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Ağustos!$C$12:$C$16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Ağustos!$F$12:$F$16</c:f>
              <c:numCache>
                <c:formatCode>General</c:formatCode>
                <c:ptCount val="5"/>
                <c:pt idx="0">
                  <c:v>50</c:v>
                </c:pt>
                <c:pt idx="1">
                  <c:v>500</c:v>
                </c:pt>
                <c:pt idx="2">
                  <c:v>36</c:v>
                </c:pt>
                <c:pt idx="3">
                  <c:v>4000</c:v>
                </c:pt>
                <c:pt idx="4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C8-4CC3-9226-4FABB150CED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A7C8-4CC3-9226-4FABB150CE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A7C8-4CC3-9226-4FABB150CE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A7C8-4CC3-9226-4FABB150CE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A7C8-4CC3-9226-4FABB150CE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A7C8-4CC3-9226-4FABB150CE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Ağustos!$C$12:$C$16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7C8-4CC3-9226-4FABB150CED0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7C8-4CC3-9226-4FABB150CE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A7C8-4CC3-9226-4FABB150CE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A7C8-4CC3-9226-4FABB150CE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A7C8-4CC3-9226-4FABB150CE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A7C8-4CC3-9226-4FABB150CE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Ağustos!$C$12:$C$16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7C8-4CC3-9226-4FABB150CED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Ağustos!$C$7:$C$9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Ağustos!$D$7:$D$9</c:f>
              <c:numCache>
                <c:formatCode>General</c:formatCode>
                <c:ptCount val="3"/>
                <c:pt idx="0">
                  <c:v>77610</c:v>
                </c:pt>
                <c:pt idx="1">
                  <c:v>2000</c:v>
                </c:pt>
                <c:pt idx="2">
                  <c:v>14652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33-4CC4-A00E-E4B14FB50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Eylül!$D$17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740-4099-817B-4EE85CB436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740-4099-817B-4EE85CB436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740-4099-817B-4EE85CB436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740-4099-817B-4EE85CB436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740-4099-817B-4EE85CB436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Eylül!$C$18:$C$22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Eylül!$F$18:$F$22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12</c:v>
                </c:pt>
                <c:pt idx="3">
                  <c:v>25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40-4099-817B-4EE85CB43641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6740-4099-817B-4EE85CB436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6740-4099-817B-4EE85CB436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6740-4099-817B-4EE85CB436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6740-4099-817B-4EE85CB436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6740-4099-817B-4EE85CB436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Eylül!$C$18:$C$22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740-4099-817B-4EE85CB43641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6740-4099-817B-4EE85CB436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6740-4099-817B-4EE85CB436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6740-4099-817B-4EE85CB436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6740-4099-817B-4EE85CB436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6740-4099-817B-4EE85CB436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Eylül!$C$18:$C$22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740-4099-817B-4EE85CB4364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0B1-49D5-A2A2-1278BAD5D1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0B1-49D5-A2A2-1278BAD5D1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0B1-49D5-A2A2-1278BAD5D1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0B1-49D5-A2A2-1278BAD5D1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0B1-49D5-A2A2-1278BAD5D1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Eylül!$C$12:$C$16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Eylül!$F$12:$F$16</c:f>
              <c:numCache>
                <c:formatCode>General</c:formatCode>
                <c:ptCount val="5"/>
                <c:pt idx="0">
                  <c:v>150</c:v>
                </c:pt>
                <c:pt idx="1">
                  <c:v>516</c:v>
                </c:pt>
                <c:pt idx="2">
                  <c:v>40</c:v>
                </c:pt>
                <c:pt idx="3">
                  <c:v>3000</c:v>
                </c:pt>
                <c:pt idx="4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1-49D5-A2A2-1278BAD5D181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30B1-49D5-A2A2-1278BAD5D1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30B1-49D5-A2A2-1278BAD5D1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30B1-49D5-A2A2-1278BAD5D1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30B1-49D5-A2A2-1278BAD5D1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30B1-49D5-A2A2-1278BAD5D1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Eylül!$C$12:$C$16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0B1-49D5-A2A2-1278BAD5D181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30B1-49D5-A2A2-1278BAD5D1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30B1-49D5-A2A2-1278BAD5D1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30B1-49D5-A2A2-1278BAD5D1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30B1-49D5-A2A2-1278BAD5D1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30B1-49D5-A2A2-1278BAD5D1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Eylül!$C$12:$C$16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B1-49D5-A2A2-1278BAD5D18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Eylül!$C$7:$C$9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Eylül!$D$7:$D$9</c:f>
              <c:numCache>
                <c:formatCode>General</c:formatCode>
                <c:ptCount val="3"/>
                <c:pt idx="0">
                  <c:v>60958</c:v>
                </c:pt>
                <c:pt idx="1">
                  <c:v>2000</c:v>
                </c:pt>
                <c:pt idx="2">
                  <c:v>13762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9-48B3-BC83-1365FBF2D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Ekim!$D$17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4AF-42B7-BEB2-C2E63D5D28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4AF-42B7-BEB2-C2E63D5D28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4AF-42B7-BEB2-C2E63D5D28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4AF-42B7-BEB2-C2E63D5D28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4AF-42B7-BEB2-C2E63D5D28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Ekim!$C$18:$C$22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Ekim!$F$18:$F$22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92</c:v>
                </c:pt>
                <c:pt idx="3">
                  <c:v>20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4AF-42B7-BEB2-C2E63D5D2872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F4AF-42B7-BEB2-C2E63D5D28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F4AF-42B7-BEB2-C2E63D5D28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F4AF-42B7-BEB2-C2E63D5D28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F4AF-42B7-BEB2-C2E63D5D28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F4AF-42B7-BEB2-C2E63D5D28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Ekim!$C$18:$C$22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4AF-42B7-BEB2-C2E63D5D2872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F4AF-42B7-BEB2-C2E63D5D28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F4AF-42B7-BEB2-C2E63D5D28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F4AF-42B7-BEB2-C2E63D5D28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F4AF-42B7-BEB2-C2E63D5D28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F4AF-42B7-BEB2-C2E63D5D28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Ekim!$C$18:$C$22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4AF-42B7-BEB2-C2E63D5D287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28A-418B-B033-06EBB8A03EC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28A-418B-B033-06EBB8A03EC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28A-418B-B033-06EBB8A03EC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28A-418B-B033-06EBB8A03EC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28A-418B-B033-06EBB8A03E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Ekim!$C$12:$C$16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Ekim!$F$12:$F$16</c:f>
              <c:numCache>
                <c:formatCode>General</c:formatCode>
                <c:ptCount val="5"/>
                <c:pt idx="0">
                  <c:v>1600</c:v>
                </c:pt>
                <c:pt idx="1">
                  <c:v>500</c:v>
                </c:pt>
                <c:pt idx="2">
                  <c:v>90</c:v>
                </c:pt>
                <c:pt idx="3">
                  <c:v>2000</c:v>
                </c:pt>
                <c:pt idx="4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8A-418B-B033-06EBB8A03ECC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028A-418B-B033-06EBB8A03EC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028A-418B-B033-06EBB8A03EC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028A-418B-B033-06EBB8A03EC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028A-418B-B033-06EBB8A03EC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028A-418B-B033-06EBB8A03E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Ekim!$C$12:$C$16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28A-418B-B033-06EBB8A03ECC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028A-418B-B033-06EBB8A03EC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028A-418B-B033-06EBB8A03EC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028A-418B-B033-06EBB8A03EC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028A-418B-B033-06EBB8A03EC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028A-418B-B033-06EBB8A03E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Ekim!$C$12:$C$16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28A-418B-B033-06EBB8A03EC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Ekim!$C$7:$C$9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Ekim!$D$7:$D$9</c:f>
              <c:numCache>
                <c:formatCode>General</c:formatCode>
                <c:ptCount val="3"/>
                <c:pt idx="0">
                  <c:v>45196</c:v>
                </c:pt>
                <c:pt idx="1">
                  <c:v>2000</c:v>
                </c:pt>
                <c:pt idx="2">
                  <c:v>14326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8-4E2E-91ED-FCEE0CBE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Kasım!$D$17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E9F-4F8D-BD41-8E1498A849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E9F-4F8D-BD41-8E1498A849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E9F-4F8D-BD41-8E1498A849E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E9F-4F8D-BD41-8E1498A849E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E9F-4F8D-BD41-8E1498A849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Kasım!$C$18:$C$22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Kasım!$F$18:$F$22</c:f>
              <c:numCache>
                <c:formatCode>General</c:formatCode>
                <c:ptCount val="5"/>
                <c:pt idx="0">
                  <c:v>6</c:v>
                </c:pt>
                <c:pt idx="1">
                  <c:v>64</c:v>
                </c:pt>
                <c:pt idx="2">
                  <c:v>28</c:v>
                </c:pt>
                <c:pt idx="3">
                  <c:v>45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9F-4F8D-BD41-8E1498A849EE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CE9F-4F8D-BD41-8E1498A849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CE9F-4F8D-BD41-8E1498A849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CE9F-4F8D-BD41-8E1498A849E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CE9F-4F8D-BD41-8E1498A849E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CE9F-4F8D-BD41-8E1498A849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Kasım!$C$18:$C$22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9F-4F8D-BD41-8E1498A849EE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E9F-4F8D-BD41-8E1498A849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CE9F-4F8D-BD41-8E1498A849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CE9F-4F8D-BD41-8E1498A849E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CE9F-4F8D-BD41-8E1498A849E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CE9F-4F8D-BD41-8E1498A849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Kasım!$C$18:$C$22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E9F-4F8D-BD41-8E1498A849EE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EF5-4680-BE0F-4D321F7999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EF5-4680-BE0F-4D321F7999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EF5-4680-BE0F-4D321F79998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EF5-4680-BE0F-4D321F79998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EF5-4680-BE0F-4D321F7999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Kasım!$C$12:$C$16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Kasım!$F$12:$F$16</c:f>
              <c:numCache>
                <c:formatCode>General</c:formatCode>
                <c:ptCount val="5"/>
                <c:pt idx="0">
                  <c:v>178</c:v>
                </c:pt>
                <c:pt idx="1">
                  <c:v>500</c:v>
                </c:pt>
                <c:pt idx="2">
                  <c:v>30</c:v>
                </c:pt>
                <c:pt idx="3">
                  <c:v>4000</c:v>
                </c:pt>
                <c:pt idx="4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F5-4680-BE0F-4D321F79998E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2EF5-4680-BE0F-4D321F7999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2EF5-4680-BE0F-4D321F7999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2EF5-4680-BE0F-4D321F79998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2EF5-4680-BE0F-4D321F79998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2EF5-4680-BE0F-4D321F7999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Kasım!$C$12:$C$16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EF5-4680-BE0F-4D321F79998E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2EF5-4680-BE0F-4D321F7999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2EF5-4680-BE0F-4D321F7999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2EF5-4680-BE0F-4D321F79998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2EF5-4680-BE0F-4D321F79998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2EF5-4680-BE0F-4D321F7999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Kasım!$C$12:$C$16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EF5-4680-BE0F-4D321F79998E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Kasım!$C$7:$C$9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Kasım!$D$7:$D$9</c:f>
              <c:numCache>
                <c:formatCode>General</c:formatCode>
                <c:ptCount val="3"/>
                <c:pt idx="0">
                  <c:v>28870</c:v>
                </c:pt>
                <c:pt idx="1">
                  <c:v>2000</c:v>
                </c:pt>
                <c:pt idx="2">
                  <c:v>10859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A-485F-9E26-4804D6083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Materıals expense</a:t>
            </a:r>
            <a:endParaRPr lang="tr-TR"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Aralık!$D$17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55B-48B4-BE5D-F27F4FD880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55B-48B4-BE5D-F27F4FD8803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55B-48B4-BE5D-F27F4FD8803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55B-48B4-BE5D-F27F4FD8803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55B-48B4-BE5D-F27F4FD880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Aralık!$C$18:$C$22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Aralık!$F$18:$F$22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5B-48B4-BE5D-F27F4FD88039}"/>
            </c:ext>
          </c:extLst>
        </c:ser>
        <c:ser>
          <c:idx val="1"/>
          <c:order val="1"/>
          <c:tx>
            <c:strRef>
              <c:f>Ocak!$E$17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C55B-48B4-BE5D-F27F4FD880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C55B-48B4-BE5D-F27F4FD8803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C55B-48B4-BE5D-F27F4FD8803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C55B-48B4-BE5D-F27F4FD8803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C55B-48B4-BE5D-F27F4FD880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Aralık!$C$18:$C$22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Ocak!$E$18:$E$22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55B-48B4-BE5D-F27F4FD88039}"/>
            </c:ext>
          </c:extLst>
        </c:ser>
        <c:ser>
          <c:idx val="2"/>
          <c:order val="2"/>
          <c:tx>
            <c:strRef>
              <c:f>Ocak!$F$17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55B-48B4-BE5D-F27F4FD880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C55B-48B4-BE5D-F27F4FD8803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C55B-48B4-BE5D-F27F4FD8803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C55B-48B4-BE5D-F27F4FD8803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C55B-48B4-BE5D-F27F4FD880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Aralık!$C$18:$C$22</c:f>
              <c:strCache>
                <c:ptCount val="5"/>
                <c:pt idx="0">
                  <c:v>Pen</c:v>
                </c:pt>
                <c:pt idx="1">
                  <c:v>A4 Paper</c:v>
                </c:pt>
                <c:pt idx="2">
                  <c:v>A5 Paper</c:v>
                </c:pt>
                <c:pt idx="3">
                  <c:v>Ink</c:v>
                </c:pt>
                <c:pt idx="4">
                  <c:v>File</c:v>
                </c:pt>
              </c:strCache>
            </c:strRef>
          </c:cat>
          <c:val>
            <c:numRef>
              <c:f>Ocak!$F$18:$F$22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80</c:v>
                </c:pt>
                <c:pt idx="3">
                  <c:v>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55B-48B4-BE5D-F27F4FD8803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Electronıcs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AB0-4A9E-9038-E87477B81D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AB0-4A9E-9038-E87477B81D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AB0-4A9E-9038-E87477B81DB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AB0-4A9E-9038-E87477B81DB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AB0-4A9E-9038-E87477B81D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Aralık!$C$12:$C$16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Aralık!$F$12:$F$16</c:f>
              <c:numCache>
                <c:formatCode>General</c:formatCode>
                <c:ptCount val="5"/>
                <c:pt idx="0">
                  <c:v>34</c:v>
                </c:pt>
                <c:pt idx="1">
                  <c:v>500</c:v>
                </c:pt>
                <c:pt idx="2">
                  <c:v>30</c:v>
                </c:pt>
                <c:pt idx="3">
                  <c:v>4000</c:v>
                </c:pt>
                <c:pt idx="4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B0-4A9E-9038-E87477B81DB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9AB0-4A9E-9038-E87477B81D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9AB0-4A9E-9038-E87477B81D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9AB0-4A9E-9038-E87477B81DB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9AB0-4A9E-9038-E87477B81DB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9AB0-4A9E-9038-E87477B81D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Aralık!$C$12:$C$16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Ocak!$E$12:$E$16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AB0-4A9E-9038-E87477B81DB0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9AB0-4A9E-9038-E87477B81D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9AB0-4A9E-9038-E87477B81D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9AB0-4A9E-9038-E87477B81DB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9AB0-4A9E-9038-E87477B81DB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9AB0-4A9E-9038-E87477B81D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Aralık!$C$12:$C$16</c:f>
              <c:strCache>
                <c:ptCount val="5"/>
                <c:pt idx="0">
                  <c:v>Phone</c:v>
                </c:pt>
                <c:pt idx="1">
                  <c:v>Dock</c:v>
                </c:pt>
                <c:pt idx="2">
                  <c:v>IP Tel</c:v>
                </c:pt>
                <c:pt idx="3">
                  <c:v>Laptop</c:v>
                </c:pt>
                <c:pt idx="4">
                  <c:v>Desktop</c:v>
                </c:pt>
              </c:strCache>
            </c:strRef>
          </c:cat>
          <c:val>
            <c:numRef>
              <c:f>Ocak!$F$12:$F$16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1000</c:v>
                </c:pt>
                <c:pt idx="3">
                  <c:v>3000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AB0-4A9E-9038-E87477B81DB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 baseline="0"/>
              <a:t>Income -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Aralık!$C$7:$C$9</c:f>
              <c:strCache>
                <c:ptCount val="3"/>
                <c:pt idx="0">
                  <c:v>Budget</c:v>
                </c:pt>
                <c:pt idx="1">
                  <c:v>Food</c:v>
                </c:pt>
                <c:pt idx="2">
                  <c:v>Materials</c:v>
                </c:pt>
              </c:strCache>
            </c:strRef>
          </c:cat>
          <c:val>
            <c:numRef>
              <c:f>Aralık!$D$7:$D$9</c:f>
              <c:numCache>
                <c:formatCode>General</c:formatCode>
                <c:ptCount val="3"/>
                <c:pt idx="0">
                  <c:v>16011</c:v>
                </c:pt>
                <c:pt idx="1">
                  <c:v>2000</c:v>
                </c:pt>
                <c:pt idx="2">
                  <c:v>10620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6-4D40-A1F0-1FE398A47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13488"/>
        <c:axId val="216195632"/>
      </c:barChart>
      <c:catAx>
        <c:axId val="1522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16195632"/>
        <c:crosses val="autoZero"/>
        <c:auto val="1"/>
        <c:lblAlgn val="ctr"/>
        <c:lblOffset val="100"/>
        <c:noMultiLvlLbl val="0"/>
      </c:catAx>
      <c:valAx>
        <c:axId val="2161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221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4" name="Rectangle 3">
          <a:extLst>
            <a:ext uri="{FF2B5EF4-FFF2-40B4-BE49-F238E27FC236}">
              <a16:creationId xmlns:a16="http://schemas.microsoft.com/office/drawing/2014/main" id="{6E0653F8-354A-4DF2-964E-B4C6B1EF5170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5" name="Rectangle 4">
          <a:extLst>
            <a:ext uri="{FF2B5EF4-FFF2-40B4-BE49-F238E27FC236}">
              <a16:creationId xmlns:a16="http://schemas.microsoft.com/office/drawing/2014/main" id="{63069CA0-FF19-4832-BF07-412EC60117EE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6" name="Rectangle 5">
          <a:extLst>
            <a:ext uri="{FF2B5EF4-FFF2-40B4-BE49-F238E27FC236}">
              <a16:creationId xmlns:a16="http://schemas.microsoft.com/office/drawing/2014/main" id="{1B03D433-AAF9-4EEA-867B-E2EC3C04F16E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7" name="Rectangle 6">
          <a:extLst>
            <a:ext uri="{FF2B5EF4-FFF2-40B4-BE49-F238E27FC236}">
              <a16:creationId xmlns:a16="http://schemas.microsoft.com/office/drawing/2014/main" id="{629D1B6B-23D9-47C1-B94A-6AC48ABF556E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8" name="Rectangle 7">
          <a:extLst>
            <a:ext uri="{FF2B5EF4-FFF2-40B4-BE49-F238E27FC236}">
              <a16:creationId xmlns:a16="http://schemas.microsoft.com/office/drawing/2014/main" id="{D34F678A-05ED-47A1-A684-E4B34EBAB4A7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9" name="Rectangle 8">
          <a:extLst>
            <a:ext uri="{FF2B5EF4-FFF2-40B4-BE49-F238E27FC236}">
              <a16:creationId xmlns:a16="http://schemas.microsoft.com/office/drawing/2014/main" id="{59421C7E-4CA3-4E21-8852-1D6890472AB5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10" name="Rectangle 9">
          <a:extLst>
            <a:ext uri="{FF2B5EF4-FFF2-40B4-BE49-F238E27FC236}">
              <a16:creationId xmlns:a16="http://schemas.microsoft.com/office/drawing/2014/main" id="{DF276D07-EA89-4A2E-AE02-B986388BF42C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11" name="Rectangle 10">
          <a:extLst>
            <a:ext uri="{FF2B5EF4-FFF2-40B4-BE49-F238E27FC236}">
              <a16:creationId xmlns:a16="http://schemas.microsoft.com/office/drawing/2014/main" id="{063739CB-7EB7-4FA0-8863-B22F534F6D35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2" name="Rectangle 11">
          <a:extLst>
            <a:ext uri="{FF2B5EF4-FFF2-40B4-BE49-F238E27FC236}">
              <a16:creationId xmlns:a16="http://schemas.microsoft.com/office/drawing/2014/main" id="{511688C0-6BA9-46CE-83FA-CD9D17F510AE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3" name="Rectangle 12">
          <a:extLst>
            <a:ext uri="{FF2B5EF4-FFF2-40B4-BE49-F238E27FC236}">
              <a16:creationId xmlns:a16="http://schemas.microsoft.com/office/drawing/2014/main" id="{2AB40FD0-FC42-473B-A624-79DF7C80C737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6" name="Rectangle 15">
          <a:extLst>
            <a:ext uri="{FF2B5EF4-FFF2-40B4-BE49-F238E27FC236}">
              <a16:creationId xmlns:a16="http://schemas.microsoft.com/office/drawing/2014/main" id="{84A5CB8E-ABC6-4039-AD91-167B3FAD9859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7" name="Rectangle 16">
          <a:extLst>
            <a:ext uri="{FF2B5EF4-FFF2-40B4-BE49-F238E27FC236}">
              <a16:creationId xmlns:a16="http://schemas.microsoft.com/office/drawing/2014/main" id="{9E35461C-E5F4-42BE-AC14-0F4BCB70C1E6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23" name="Rectangle 22">
          <a:extLst>
            <a:ext uri="{FF2B5EF4-FFF2-40B4-BE49-F238E27FC236}">
              <a16:creationId xmlns:a16="http://schemas.microsoft.com/office/drawing/2014/main" id="{6B862656-8E29-41A7-B0E2-5D0F218774E7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9</xdr:col>
      <xdr:colOff>171450</xdr:colOff>
      <xdr:row>19</xdr:row>
      <xdr:rowOff>61914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FBA2FF14-B98A-4169-97D4-4336654BB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276225</xdr:colOff>
      <xdr:row>5</xdr:row>
      <xdr:rowOff>1</xdr:rowOff>
    </xdr:from>
    <xdr:to>
      <xdr:col>16</xdr:col>
      <xdr:colOff>581025</xdr:colOff>
      <xdr:row>19</xdr:row>
      <xdr:rowOff>76201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B08B81A2-64EF-4D7F-91FA-36CDD88CB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41" name="Rectangle 40">
          <a:extLst>
            <a:ext uri="{FF2B5EF4-FFF2-40B4-BE49-F238E27FC236}">
              <a16:creationId xmlns:a16="http://schemas.microsoft.com/office/drawing/2014/main" id="{AA913B00-135E-4137-9AB8-3208CBAD4531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42" name="Rectangle 41">
          <a:extLst>
            <a:ext uri="{FF2B5EF4-FFF2-40B4-BE49-F238E27FC236}">
              <a16:creationId xmlns:a16="http://schemas.microsoft.com/office/drawing/2014/main" id="{6F311AC6-542C-4A57-92F0-F8AC36BEC778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3" name="Rectangle 42">
          <a:extLst>
            <a:ext uri="{FF2B5EF4-FFF2-40B4-BE49-F238E27FC236}">
              <a16:creationId xmlns:a16="http://schemas.microsoft.com/office/drawing/2014/main" id="{FB17696A-870E-4BB9-960C-2CE9ECA38970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44" name="Rectangle 43">
          <a:extLst>
            <a:ext uri="{FF2B5EF4-FFF2-40B4-BE49-F238E27FC236}">
              <a16:creationId xmlns:a16="http://schemas.microsoft.com/office/drawing/2014/main" id="{25D4F4DF-CAA2-468B-B081-67123D2C750D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45" name="Rectangle 44">
          <a:extLst>
            <a:ext uri="{FF2B5EF4-FFF2-40B4-BE49-F238E27FC236}">
              <a16:creationId xmlns:a16="http://schemas.microsoft.com/office/drawing/2014/main" id="{4009BE9D-54E6-4D35-BE32-F7E07651A7B1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46" name="Rectangle 45">
          <a:extLst>
            <a:ext uri="{FF2B5EF4-FFF2-40B4-BE49-F238E27FC236}">
              <a16:creationId xmlns:a16="http://schemas.microsoft.com/office/drawing/2014/main" id="{D4995FA5-3895-4CE5-8CB6-26551E4B5FD2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47" name="Rectangle 46">
          <a:extLst>
            <a:ext uri="{FF2B5EF4-FFF2-40B4-BE49-F238E27FC236}">
              <a16:creationId xmlns:a16="http://schemas.microsoft.com/office/drawing/2014/main" id="{EAEB7336-5C18-4467-9C1F-1B6263D5933E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48" name="Rectangle 47">
          <a:extLst>
            <a:ext uri="{FF2B5EF4-FFF2-40B4-BE49-F238E27FC236}">
              <a16:creationId xmlns:a16="http://schemas.microsoft.com/office/drawing/2014/main" id="{323DDF07-E50D-4AA1-91D8-B66E95AECA69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SEPTEMBER</a:t>
          </a:r>
          <a:endParaRPr lang="tr-TR">
            <a:effectLst/>
          </a:endParaRPr>
        </a:p>
        <a:p>
          <a:pPr algn="ctr"/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49" name="Rectangle 48">
          <a:extLst>
            <a:ext uri="{FF2B5EF4-FFF2-40B4-BE49-F238E27FC236}">
              <a16:creationId xmlns:a16="http://schemas.microsoft.com/office/drawing/2014/main" id="{6478F7A5-A6BC-4CAF-BC0A-59140557464F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50" name="Rectangle 49">
          <a:extLst>
            <a:ext uri="{FF2B5EF4-FFF2-40B4-BE49-F238E27FC236}">
              <a16:creationId xmlns:a16="http://schemas.microsoft.com/office/drawing/2014/main" id="{6E7AAB1F-C85D-42FB-92D1-E859196E720D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51" name="Rectangle 50">
          <a:extLst>
            <a:ext uri="{FF2B5EF4-FFF2-40B4-BE49-F238E27FC236}">
              <a16:creationId xmlns:a16="http://schemas.microsoft.com/office/drawing/2014/main" id="{E999DB52-75F5-411C-B39F-23F6932DFE9A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52" name="Rectangle 51">
          <a:extLst>
            <a:ext uri="{FF2B5EF4-FFF2-40B4-BE49-F238E27FC236}">
              <a16:creationId xmlns:a16="http://schemas.microsoft.com/office/drawing/2014/main" id="{9CF5A171-0CA0-4E6F-A502-EE46A42265D0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53" name="Rectangle 52">
          <a:extLst>
            <a:ext uri="{FF2B5EF4-FFF2-40B4-BE49-F238E27FC236}">
              <a16:creationId xmlns:a16="http://schemas.microsoft.com/office/drawing/2014/main" id="{E94BB7E4-8142-49B8-B936-E7A7D38DED0F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114298</xdr:colOff>
      <xdr:row>5</xdr:row>
      <xdr:rowOff>1</xdr:rowOff>
    </xdr:from>
    <xdr:to>
      <xdr:col>17</xdr:col>
      <xdr:colOff>476247</xdr:colOff>
      <xdr:row>18</xdr:row>
      <xdr:rowOff>33339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F2876216-621E-4539-BE09-EA316E07B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5</xdr:row>
      <xdr:rowOff>4762</xdr:rowOff>
    </xdr:from>
    <xdr:to>
      <xdr:col>14</xdr:col>
      <xdr:colOff>0</xdr:colOff>
      <xdr:row>18</xdr:row>
      <xdr:rowOff>33337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9CAFF8BE-42B9-4D0C-A554-638AE6EB9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47625</xdr:colOff>
      <xdr:row>4</xdr:row>
      <xdr:rowOff>180975</xdr:rowOff>
    </xdr:from>
    <xdr:to>
      <xdr:col>9</xdr:col>
      <xdr:colOff>571499</xdr:colOff>
      <xdr:row>18</xdr:row>
      <xdr:rowOff>33338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FE0162EC-F2E2-4AFE-A003-B498190EC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2" name="Rectangle 1">
          <a:extLst>
            <a:ext uri="{FF2B5EF4-FFF2-40B4-BE49-F238E27FC236}">
              <a16:creationId xmlns:a16="http://schemas.microsoft.com/office/drawing/2014/main" id="{EF103328-5F0B-4F5D-B8AF-CA5FE0195AC7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3" name="Rectangle 2">
          <a:extLst>
            <a:ext uri="{FF2B5EF4-FFF2-40B4-BE49-F238E27FC236}">
              <a16:creationId xmlns:a16="http://schemas.microsoft.com/office/drawing/2014/main" id="{12A6E7E4-DA57-47CB-A19C-AB23B36F35CB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" name="Rectangle 3">
          <a:extLst>
            <a:ext uri="{FF2B5EF4-FFF2-40B4-BE49-F238E27FC236}">
              <a16:creationId xmlns:a16="http://schemas.microsoft.com/office/drawing/2014/main" id="{DBF561E5-6B38-4DFF-9338-40C8AEF61140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5" name="Rectangle 4">
          <a:extLst>
            <a:ext uri="{FF2B5EF4-FFF2-40B4-BE49-F238E27FC236}">
              <a16:creationId xmlns:a16="http://schemas.microsoft.com/office/drawing/2014/main" id="{70645361-95F2-49D7-994E-4E5BEE942DFF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6" name="Rectangle 5">
          <a:extLst>
            <a:ext uri="{FF2B5EF4-FFF2-40B4-BE49-F238E27FC236}">
              <a16:creationId xmlns:a16="http://schemas.microsoft.com/office/drawing/2014/main" id="{24081C65-CCA3-47B9-9283-24658D620A47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7" name="Rectangle 6">
          <a:extLst>
            <a:ext uri="{FF2B5EF4-FFF2-40B4-BE49-F238E27FC236}">
              <a16:creationId xmlns:a16="http://schemas.microsoft.com/office/drawing/2014/main" id="{B9017704-BB19-422C-9159-5CAA342D3351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8" name="Rectangle 7">
          <a:extLst>
            <a:ext uri="{FF2B5EF4-FFF2-40B4-BE49-F238E27FC236}">
              <a16:creationId xmlns:a16="http://schemas.microsoft.com/office/drawing/2014/main" id="{8EEEBC7A-B02B-4736-AD2C-A068247D0385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9" name="Rectangle 8">
          <a:extLst>
            <a:ext uri="{FF2B5EF4-FFF2-40B4-BE49-F238E27FC236}">
              <a16:creationId xmlns:a16="http://schemas.microsoft.com/office/drawing/2014/main" id="{2AE3A7AF-661C-48B9-A30F-F7D141463433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SEPTEMBER</a:t>
          </a:r>
          <a:endParaRPr lang="tr-TR">
            <a:effectLst/>
          </a:endParaRPr>
        </a:p>
        <a:p>
          <a:pPr algn="ctr"/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0" name="Rectangle 9">
          <a:extLst>
            <a:ext uri="{FF2B5EF4-FFF2-40B4-BE49-F238E27FC236}">
              <a16:creationId xmlns:a16="http://schemas.microsoft.com/office/drawing/2014/main" id="{E03E47FE-F9D0-4110-952F-2D066407BFA7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1" name="Rectangle 10">
          <a:extLst>
            <a:ext uri="{FF2B5EF4-FFF2-40B4-BE49-F238E27FC236}">
              <a16:creationId xmlns:a16="http://schemas.microsoft.com/office/drawing/2014/main" id="{DCDB46D0-536D-48E6-A5EB-EF3FC2CEC497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2" name="Rectangle 11">
          <a:extLst>
            <a:ext uri="{FF2B5EF4-FFF2-40B4-BE49-F238E27FC236}">
              <a16:creationId xmlns:a16="http://schemas.microsoft.com/office/drawing/2014/main" id="{D51B5690-AA80-4FB3-9851-BCAD9BE60FC0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3" name="Rectangle 12">
          <a:extLst>
            <a:ext uri="{FF2B5EF4-FFF2-40B4-BE49-F238E27FC236}">
              <a16:creationId xmlns:a16="http://schemas.microsoft.com/office/drawing/2014/main" id="{2B0857D8-9DE6-44E8-9A64-B76286CF0ED3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14" name="Rectangle 13">
          <a:extLst>
            <a:ext uri="{FF2B5EF4-FFF2-40B4-BE49-F238E27FC236}">
              <a16:creationId xmlns:a16="http://schemas.microsoft.com/office/drawing/2014/main" id="{8F05C3B9-8481-4EE7-A86B-17DC7580C574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1A1409D5-A9D3-457A-AEF1-6DE3FA9F68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FAF1C80-FC9E-4A6E-88A9-4A1281AD6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7D2AF559-04ED-4C1D-A99D-292393CF8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2" name="Rectangle 1">
          <a:extLst>
            <a:ext uri="{FF2B5EF4-FFF2-40B4-BE49-F238E27FC236}">
              <a16:creationId xmlns:a16="http://schemas.microsoft.com/office/drawing/2014/main" id="{108C5C7A-DF4F-4DFF-A349-A3CD153BBAA6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3" name="Rectangle 2">
          <a:extLst>
            <a:ext uri="{FF2B5EF4-FFF2-40B4-BE49-F238E27FC236}">
              <a16:creationId xmlns:a16="http://schemas.microsoft.com/office/drawing/2014/main" id="{3182462D-9A94-465B-97A9-C20D547114C1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" name="Rectangle 3">
          <a:extLst>
            <a:ext uri="{FF2B5EF4-FFF2-40B4-BE49-F238E27FC236}">
              <a16:creationId xmlns:a16="http://schemas.microsoft.com/office/drawing/2014/main" id="{4443D2F2-2274-4BE1-8B2C-DB285DFDA4AB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5" name="Rectangle 4">
          <a:extLst>
            <a:ext uri="{FF2B5EF4-FFF2-40B4-BE49-F238E27FC236}">
              <a16:creationId xmlns:a16="http://schemas.microsoft.com/office/drawing/2014/main" id="{1CC160C7-0B00-44F3-8216-8BF762DF8652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6" name="Rectangle 5">
          <a:extLst>
            <a:ext uri="{FF2B5EF4-FFF2-40B4-BE49-F238E27FC236}">
              <a16:creationId xmlns:a16="http://schemas.microsoft.com/office/drawing/2014/main" id="{4D09B6AB-1837-49C8-A852-3795D3AF1636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7" name="Rectangle 6">
          <a:extLst>
            <a:ext uri="{FF2B5EF4-FFF2-40B4-BE49-F238E27FC236}">
              <a16:creationId xmlns:a16="http://schemas.microsoft.com/office/drawing/2014/main" id="{FEECC5B7-5855-4240-B3B7-39012F791B52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8" name="Rectangle 7">
          <a:extLst>
            <a:ext uri="{FF2B5EF4-FFF2-40B4-BE49-F238E27FC236}">
              <a16:creationId xmlns:a16="http://schemas.microsoft.com/office/drawing/2014/main" id="{0ACEE04B-F4E6-4C06-BACF-6C62B3A89117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9" name="Rectangle 8">
          <a:extLst>
            <a:ext uri="{FF2B5EF4-FFF2-40B4-BE49-F238E27FC236}">
              <a16:creationId xmlns:a16="http://schemas.microsoft.com/office/drawing/2014/main" id="{CBBFF1D3-9CCA-415F-874F-A01646F442DB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0" name="Rectangle 9">
          <a:extLst>
            <a:ext uri="{FF2B5EF4-FFF2-40B4-BE49-F238E27FC236}">
              <a16:creationId xmlns:a16="http://schemas.microsoft.com/office/drawing/2014/main" id="{A5758C9E-7256-479C-8C4B-3344BF467E22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1" name="Rectangle 10">
          <a:extLst>
            <a:ext uri="{FF2B5EF4-FFF2-40B4-BE49-F238E27FC236}">
              <a16:creationId xmlns:a16="http://schemas.microsoft.com/office/drawing/2014/main" id="{1122BEB5-B266-4D93-98BF-C3958A5583B2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2" name="Rectangle 11">
          <a:extLst>
            <a:ext uri="{FF2B5EF4-FFF2-40B4-BE49-F238E27FC236}">
              <a16:creationId xmlns:a16="http://schemas.microsoft.com/office/drawing/2014/main" id="{5CA853DF-C602-4B68-81D8-6A714510BCDC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3" name="Rectangle 12">
          <a:extLst>
            <a:ext uri="{FF2B5EF4-FFF2-40B4-BE49-F238E27FC236}">
              <a16:creationId xmlns:a16="http://schemas.microsoft.com/office/drawing/2014/main" id="{1E4B5CE4-7D79-4629-AA84-B7DC44EAC85D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14" name="Rectangle 13">
          <a:extLst>
            <a:ext uri="{FF2B5EF4-FFF2-40B4-BE49-F238E27FC236}">
              <a16:creationId xmlns:a16="http://schemas.microsoft.com/office/drawing/2014/main" id="{51BF1163-4892-4ECA-8896-8711392F0E7E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901AEEEF-D2C9-4E2B-A8F5-CB0D7F30A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FC93025-D8F4-48BE-A173-0EDB85779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53B498C-4AF6-4533-8A91-833511EB22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2" name="Rectangle 1">
          <a:extLst>
            <a:ext uri="{FF2B5EF4-FFF2-40B4-BE49-F238E27FC236}">
              <a16:creationId xmlns:a16="http://schemas.microsoft.com/office/drawing/2014/main" id="{351808DF-9880-4679-AC73-05C9FC7E5F6A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3" name="Rectangle 2">
          <a:extLst>
            <a:ext uri="{FF2B5EF4-FFF2-40B4-BE49-F238E27FC236}">
              <a16:creationId xmlns:a16="http://schemas.microsoft.com/office/drawing/2014/main" id="{14675A10-92DB-4A7E-BF57-05DC26FB2BF0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" name="Rectangle 3">
          <a:extLst>
            <a:ext uri="{FF2B5EF4-FFF2-40B4-BE49-F238E27FC236}">
              <a16:creationId xmlns:a16="http://schemas.microsoft.com/office/drawing/2014/main" id="{D9C645D2-6713-4570-9842-36C053D7B568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5" name="Rectangle 4">
          <a:extLst>
            <a:ext uri="{FF2B5EF4-FFF2-40B4-BE49-F238E27FC236}">
              <a16:creationId xmlns:a16="http://schemas.microsoft.com/office/drawing/2014/main" id="{7389B124-0EE4-4195-A42D-EC92FFCD59A3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6" name="Rectangle 5">
          <a:extLst>
            <a:ext uri="{FF2B5EF4-FFF2-40B4-BE49-F238E27FC236}">
              <a16:creationId xmlns:a16="http://schemas.microsoft.com/office/drawing/2014/main" id="{FE3BEE3B-DC52-4081-88D5-B447CC32DC06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7" name="Rectangle 6">
          <a:extLst>
            <a:ext uri="{FF2B5EF4-FFF2-40B4-BE49-F238E27FC236}">
              <a16:creationId xmlns:a16="http://schemas.microsoft.com/office/drawing/2014/main" id="{81C087F9-85E0-4BBA-8379-6F38F1750366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8" name="Rectangle 7">
          <a:extLst>
            <a:ext uri="{FF2B5EF4-FFF2-40B4-BE49-F238E27FC236}">
              <a16:creationId xmlns:a16="http://schemas.microsoft.com/office/drawing/2014/main" id="{FC01BE2C-B018-491B-82A7-AAD325DB2A42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9" name="Rectangle 8">
          <a:extLst>
            <a:ext uri="{FF2B5EF4-FFF2-40B4-BE49-F238E27FC236}">
              <a16:creationId xmlns:a16="http://schemas.microsoft.com/office/drawing/2014/main" id="{296B662F-75E7-4C58-B8B3-D8EA74877E5A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0" name="Rectangle 9">
          <a:extLst>
            <a:ext uri="{FF2B5EF4-FFF2-40B4-BE49-F238E27FC236}">
              <a16:creationId xmlns:a16="http://schemas.microsoft.com/office/drawing/2014/main" id="{30258001-7F68-4D96-8898-4B31C9E32742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1" name="Rectangle 10">
          <a:extLst>
            <a:ext uri="{FF2B5EF4-FFF2-40B4-BE49-F238E27FC236}">
              <a16:creationId xmlns:a16="http://schemas.microsoft.com/office/drawing/2014/main" id="{BDBFB0EA-63D5-4F84-8847-FDE7CA3D356D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2" name="Rectangle 11">
          <a:extLst>
            <a:ext uri="{FF2B5EF4-FFF2-40B4-BE49-F238E27FC236}">
              <a16:creationId xmlns:a16="http://schemas.microsoft.com/office/drawing/2014/main" id="{7D653F15-567E-4F11-9FC2-CBC58F65FD5C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3" name="Rectangle 12">
          <a:extLst>
            <a:ext uri="{FF2B5EF4-FFF2-40B4-BE49-F238E27FC236}">
              <a16:creationId xmlns:a16="http://schemas.microsoft.com/office/drawing/2014/main" id="{E6952BC2-FEF2-4310-BC2A-E35B07DA2FD8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14" name="Rectangle 13">
          <a:extLst>
            <a:ext uri="{FF2B5EF4-FFF2-40B4-BE49-F238E27FC236}">
              <a16:creationId xmlns:a16="http://schemas.microsoft.com/office/drawing/2014/main" id="{F15A1E90-0A35-449D-813A-E86427715347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A482C5BA-44ED-4759-A2BE-3E4432DA0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5</xdr:row>
      <xdr:rowOff>4762</xdr:rowOff>
    </xdr:from>
    <xdr:to>
      <xdr:col>14</xdr:col>
      <xdr:colOff>66675</xdr:colOff>
      <xdr:row>18</xdr:row>
      <xdr:rowOff>33337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72ECF1A9-EBF9-4CDD-8AAF-AF2EB3D15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123825</xdr:colOff>
      <xdr:row>5</xdr:row>
      <xdr:rowOff>0</xdr:rowOff>
    </xdr:from>
    <xdr:to>
      <xdr:col>10</xdr:col>
      <xdr:colOff>38099</xdr:colOff>
      <xdr:row>18</xdr:row>
      <xdr:rowOff>42863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18EBF162-B8B4-4843-A08E-7B7030834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2" name="Rectangle 1">
          <a:extLst>
            <a:ext uri="{FF2B5EF4-FFF2-40B4-BE49-F238E27FC236}">
              <a16:creationId xmlns:a16="http://schemas.microsoft.com/office/drawing/2014/main" id="{841449E6-93E9-4589-9132-7D0F77354AE8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3" name="Rectangle 2">
          <a:extLst>
            <a:ext uri="{FF2B5EF4-FFF2-40B4-BE49-F238E27FC236}">
              <a16:creationId xmlns:a16="http://schemas.microsoft.com/office/drawing/2014/main" id="{963871D9-5F5D-4F79-B562-0F7B68B6CF92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" name="Rectangle 3">
          <a:extLst>
            <a:ext uri="{FF2B5EF4-FFF2-40B4-BE49-F238E27FC236}">
              <a16:creationId xmlns:a16="http://schemas.microsoft.com/office/drawing/2014/main" id="{1CFDBC14-1A5E-49FC-AAEC-D98E06BA2C56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5" name="Rectangle 4">
          <a:extLst>
            <a:ext uri="{FF2B5EF4-FFF2-40B4-BE49-F238E27FC236}">
              <a16:creationId xmlns:a16="http://schemas.microsoft.com/office/drawing/2014/main" id="{E329E8A6-25B4-408B-B532-051FE7F09B89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6" name="Rectangle 5">
          <a:extLst>
            <a:ext uri="{FF2B5EF4-FFF2-40B4-BE49-F238E27FC236}">
              <a16:creationId xmlns:a16="http://schemas.microsoft.com/office/drawing/2014/main" id="{091B4438-BFAA-4075-A52D-0F82E0A236E1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7" name="Rectangle 6">
          <a:extLst>
            <a:ext uri="{FF2B5EF4-FFF2-40B4-BE49-F238E27FC236}">
              <a16:creationId xmlns:a16="http://schemas.microsoft.com/office/drawing/2014/main" id="{CF89BACB-99A7-4110-ACED-BAC1C0360A86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8" name="Rectangle 7">
          <a:extLst>
            <a:ext uri="{FF2B5EF4-FFF2-40B4-BE49-F238E27FC236}">
              <a16:creationId xmlns:a16="http://schemas.microsoft.com/office/drawing/2014/main" id="{C8BA93AF-1FBB-4D7E-A1FB-2115AA4EA813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9" name="Rectangle 8">
          <a:extLst>
            <a:ext uri="{FF2B5EF4-FFF2-40B4-BE49-F238E27FC236}">
              <a16:creationId xmlns:a16="http://schemas.microsoft.com/office/drawing/2014/main" id="{57390109-1781-4B89-A5C2-EFF3F67560C6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0" name="Rectangle 9">
          <a:extLst>
            <a:ext uri="{FF2B5EF4-FFF2-40B4-BE49-F238E27FC236}">
              <a16:creationId xmlns:a16="http://schemas.microsoft.com/office/drawing/2014/main" id="{CA04DB32-46D5-48A6-B328-442B1ABEF2B0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1" name="Rectangle 10">
          <a:extLst>
            <a:ext uri="{FF2B5EF4-FFF2-40B4-BE49-F238E27FC236}">
              <a16:creationId xmlns:a16="http://schemas.microsoft.com/office/drawing/2014/main" id="{4F8C96A2-7B68-4BF5-B479-8CBD49D859B7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2" name="Rectangle 11">
          <a:extLst>
            <a:ext uri="{FF2B5EF4-FFF2-40B4-BE49-F238E27FC236}">
              <a16:creationId xmlns:a16="http://schemas.microsoft.com/office/drawing/2014/main" id="{28C747FC-7036-4F19-ABFB-BE1DBE5E6C5D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3" name="Rectangle 12">
          <a:extLst>
            <a:ext uri="{FF2B5EF4-FFF2-40B4-BE49-F238E27FC236}">
              <a16:creationId xmlns:a16="http://schemas.microsoft.com/office/drawing/2014/main" id="{17F4096B-DD5D-4515-BB1F-3551737E8EC9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14" name="Rectangle 13">
          <a:extLst>
            <a:ext uri="{FF2B5EF4-FFF2-40B4-BE49-F238E27FC236}">
              <a16:creationId xmlns:a16="http://schemas.microsoft.com/office/drawing/2014/main" id="{0D960F49-9EA6-41F4-A729-F87C0BEAC3BE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8AE01152-6F00-44F1-A290-0D883AED67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CADE68BF-EAB0-46DE-9F1D-6D1AC7627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DC1E2FDD-7681-4D35-B5FF-367F89B04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2" name="Rectangle 1">
          <a:extLst>
            <a:ext uri="{FF2B5EF4-FFF2-40B4-BE49-F238E27FC236}">
              <a16:creationId xmlns:a16="http://schemas.microsoft.com/office/drawing/2014/main" id="{D995E20D-752D-4033-A9B3-62024C2AAF22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3" name="Rectangle 2">
          <a:extLst>
            <a:ext uri="{FF2B5EF4-FFF2-40B4-BE49-F238E27FC236}">
              <a16:creationId xmlns:a16="http://schemas.microsoft.com/office/drawing/2014/main" id="{52C18DE3-C875-4B7F-AA19-9DBFB887CCBA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" name="Rectangle 3">
          <a:extLst>
            <a:ext uri="{FF2B5EF4-FFF2-40B4-BE49-F238E27FC236}">
              <a16:creationId xmlns:a16="http://schemas.microsoft.com/office/drawing/2014/main" id="{B2FB4560-807E-4DC2-94E6-17DDBE951AB1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5" name="Rectangle 4">
          <a:extLst>
            <a:ext uri="{FF2B5EF4-FFF2-40B4-BE49-F238E27FC236}">
              <a16:creationId xmlns:a16="http://schemas.microsoft.com/office/drawing/2014/main" id="{ECAE8B2E-EED7-4487-86FF-9BEE16151973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6" name="Rectangle 5">
          <a:extLst>
            <a:ext uri="{FF2B5EF4-FFF2-40B4-BE49-F238E27FC236}">
              <a16:creationId xmlns:a16="http://schemas.microsoft.com/office/drawing/2014/main" id="{D9CEE21B-E85E-401E-9ADA-ED7D05AED235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7" name="Rectangle 6">
          <a:extLst>
            <a:ext uri="{FF2B5EF4-FFF2-40B4-BE49-F238E27FC236}">
              <a16:creationId xmlns:a16="http://schemas.microsoft.com/office/drawing/2014/main" id="{881BDBBF-DC20-4487-8C6D-E33154BE0AD0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8" name="Rectangle 7">
          <a:extLst>
            <a:ext uri="{FF2B5EF4-FFF2-40B4-BE49-F238E27FC236}">
              <a16:creationId xmlns:a16="http://schemas.microsoft.com/office/drawing/2014/main" id="{DC7F873C-BE14-4C51-9D38-03D002D60F6F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9" name="Rectangle 8">
          <a:extLst>
            <a:ext uri="{FF2B5EF4-FFF2-40B4-BE49-F238E27FC236}">
              <a16:creationId xmlns:a16="http://schemas.microsoft.com/office/drawing/2014/main" id="{7D13D604-E59E-4C63-9FA7-E559B6F86AD5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0" name="Rectangle 9">
          <a:extLst>
            <a:ext uri="{FF2B5EF4-FFF2-40B4-BE49-F238E27FC236}">
              <a16:creationId xmlns:a16="http://schemas.microsoft.com/office/drawing/2014/main" id="{5DE83B7E-DDD5-4D9C-AC43-31510202E9D6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1" name="Rectangle 10">
          <a:extLst>
            <a:ext uri="{FF2B5EF4-FFF2-40B4-BE49-F238E27FC236}">
              <a16:creationId xmlns:a16="http://schemas.microsoft.com/office/drawing/2014/main" id="{C6D4406B-D694-4FD7-8F76-B1C85DD1B7BC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2" name="Rectangle 11">
          <a:extLst>
            <a:ext uri="{FF2B5EF4-FFF2-40B4-BE49-F238E27FC236}">
              <a16:creationId xmlns:a16="http://schemas.microsoft.com/office/drawing/2014/main" id="{7701E812-69C6-40AF-BE36-DBD149974734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3" name="Rectangle 12">
          <a:extLst>
            <a:ext uri="{FF2B5EF4-FFF2-40B4-BE49-F238E27FC236}">
              <a16:creationId xmlns:a16="http://schemas.microsoft.com/office/drawing/2014/main" id="{BB0D568A-1F56-4892-B34E-C113B5F091A0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14" name="Rectangle 13">
          <a:extLst>
            <a:ext uri="{FF2B5EF4-FFF2-40B4-BE49-F238E27FC236}">
              <a16:creationId xmlns:a16="http://schemas.microsoft.com/office/drawing/2014/main" id="{2B747E90-FA83-4861-A575-B3D5FE0B031B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A3C223F-6BC4-4018-AF88-94E7BDBE0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CE20F4B6-FB2B-4829-A2E5-DEB850F90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33A61309-E7EE-41CE-8385-0EB058913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14" name="Rectangle 13">
          <a:extLst>
            <a:ext uri="{FF2B5EF4-FFF2-40B4-BE49-F238E27FC236}">
              <a16:creationId xmlns:a16="http://schemas.microsoft.com/office/drawing/2014/main" id="{AB882602-8B78-4EC5-A0C6-A566124FEE29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28" name="Rectangle 27">
          <a:extLst>
            <a:ext uri="{FF2B5EF4-FFF2-40B4-BE49-F238E27FC236}">
              <a16:creationId xmlns:a16="http://schemas.microsoft.com/office/drawing/2014/main" id="{15B02620-D13F-4C1F-95DC-C4901CBB105E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29" name="Rectangle 28">
          <a:extLst>
            <a:ext uri="{FF2B5EF4-FFF2-40B4-BE49-F238E27FC236}">
              <a16:creationId xmlns:a16="http://schemas.microsoft.com/office/drawing/2014/main" id="{19BEEDB7-FC5C-4FD0-83BB-4C3AB43FD884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30" name="Rectangle 29">
          <a:extLst>
            <a:ext uri="{FF2B5EF4-FFF2-40B4-BE49-F238E27FC236}">
              <a16:creationId xmlns:a16="http://schemas.microsoft.com/office/drawing/2014/main" id="{E0D1CF77-EC5E-4B17-B8E1-01D39D131CFE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34" name="Rectangle 33">
          <a:extLst>
            <a:ext uri="{FF2B5EF4-FFF2-40B4-BE49-F238E27FC236}">
              <a16:creationId xmlns:a16="http://schemas.microsoft.com/office/drawing/2014/main" id="{3AAC0B89-A933-40D6-9A52-C2A6B7913663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35" name="Rectangle 34">
          <a:extLst>
            <a:ext uri="{FF2B5EF4-FFF2-40B4-BE49-F238E27FC236}">
              <a16:creationId xmlns:a16="http://schemas.microsoft.com/office/drawing/2014/main" id="{A5263FDF-F37F-4827-9E1E-0BAE6701D076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36" name="Rectangle 35">
          <a:extLst>
            <a:ext uri="{FF2B5EF4-FFF2-40B4-BE49-F238E27FC236}">
              <a16:creationId xmlns:a16="http://schemas.microsoft.com/office/drawing/2014/main" id="{2E94DBEA-5979-41A1-82A2-15F450675281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37" name="Rectangle 36">
          <a:extLst>
            <a:ext uri="{FF2B5EF4-FFF2-40B4-BE49-F238E27FC236}">
              <a16:creationId xmlns:a16="http://schemas.microsoft.com/office/drawing/2014/main" id="{66D5EADF-B58A-4DA3-8A85-845A65598878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38" name="Rectangle 37">
          <a:extLst>
            <a:ext uri="{FF2B5EF4-FFF2-40B4-BE49-F238E27FC236}">
              <a16:creationId xmlns:a16="http://schemas.microsoft.com/office/drawing/2014/main" id="{7174781A-4DA2-4D89-9FCB-FC2FA0CFAA47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39" name="Rectangle 38">
          <a:extLst>
            <a:ext uri="{FF2B5EF4-FFF2-40B4-BE49-F238E27FC236}">
              <a16:creationId xmlns:a16="http://schemas.microsoft.com/office/drawing/2014/main" id="{32885091-98E8-4C86-93D6-CB05365A379B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40" name="Rectangle 39">
          <a:extLst>
            <a:ext uri="{FF2B5EF4-FFF2-40B4-BE49-F238E27FC236}">
              <a16:creationId xmlns:a16="http://schemas.microsoft.com/office/drawing/2014/main" id="{53401CDD-8A72-4A13-BCDB-083BCBFC5BCC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41" name="Rectangle 40">
          <a:extLst>
            <a:ext uri="{FF2B5EF4-FFF2-40B4-BE49-F238E27FC236}">
              <a16:creationId xmlns:a16="http://schemas.microsoft.com/office/drawing/2014/main" id="{E5D25C3A-F0A8-48FA-BEBF-E7C7248DBAD7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42" name="Rectangle 41">
          <a:extLst>
            <a:ext uri="{FF2B5EF4-FFF2-40B4-BE49-F238E27FC236}">
              <a16:creationId xmlns:a16="http://schemas.microsoft.com/office/drawing/2014/main" id="{C6212996-1817-4C2F-8293-5531868ABAD3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51D699AB-438D-46E0-99AA-FDEB791422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9C1B1C43-C2F3-4639-8315-6520CF5AAF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CFF8406F-2E3F-4974-906A-133F65D6C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2" name="Rectangle 1">
          <a:extLst>
            <a:ext uri="{FF2B5EF4-FFF2-40B4-BE49-F238E27FC236}">
              <a16:creationId xmlns:a16="http://schemas.microsoft.com/office/drawing/2014/main" id="{947E76CA-7BF7-4BC6-8C58-E6E0BA29F2B9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3" name="Rectangle 2">
          <a:extLst>
            <a:ext uri="{FF2B5EF4-FFF2-40B4-BE49-F238E27FC236}">
              <a16:creationId xmlns:a16="http://schemas.microsoft.com/office/drawing/2014/main" id="{6B85FC3B-575D-4EEA-A853-B17CE3D140CA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" name="Rectangle 3">
          <a:extLst>
            <a:ext uri="{FF2B5EF4-FFF2-40B4-BE49-F238E27FC236}">
              <a16:creationId xmlns:a16="http://schemas.microsoft.com/office/drawing/2014/main" id="{09B78208-36A5-48B4-9B8E-32E51AFC9568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5" name="Rectangle 4">
          <a:extLst>
            <a:ext uri="{FF2B5EF4-FFF2-40B4-BE49-F238E27FC236}">
              <a16:creationId xmlns:a16="http://schemas.microsoft.com/office/drawing/2014/main" id="{B74B3B9D-A864-4B4D-A786-31EEF225FC2C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6" name="Rectangle 5">
          <a:extLst>
            <a:ext uri="{FF2B5EF4-FFF2-40B4-BE49-F238E27FC236}">
              <a16:creationId xmlns:a16="http://schemas.microsoft.com/office/drawing/2014/main" id="{390B1354-786C-4B6A-84A2-1F59C9C0BA7C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7" name="Rectangle 6">
          <a:extLst>
            <a:ext uri="{FF2B5EF4-FFF2-40B4-BE49-F238E27FC236}">
              <a16:creationId xmlns:a16="http://schemas.microsoft.com/office/drawing/2014/main" id="{2CF865BC-3792-4F39-914E-550ED20F62E2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8" name="Rectangle 7">
          <a:extLst>
            <a:ext uri="{FF2B5EF4-FFF2-40B4-BE49-F238E27FC236}">
              <a16:creationId xmlns:a16="http://schemas.microsoft.com/office/drawing/2014/main" id="{84667824-E4AE-4D60-855E-6EF4D47A2E7D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9" name="Rectangle 8">
          <a:extLst>
            <a:ext uri="{FF2B5EF4-FFF2-40B4-BE49-F238E27FC236}">
              <a16:creationId xmlns:a16="http://schemas.microsoft.com/office/drawing/2014/main" id="{5B8F8FE7-C41D-45CE-8CDD-01296FD644AC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0" name="Rectangle 9">
          <a:extLst>
            <a:ext uri="{FF2B5EF4-FFF2-40B4-BE49-F238E27FC236}">
              <a16:creationId xmlns:a16="http://schemas.microsoft.com/office/drawing/2014/main" id="{8C980BC5-3115-4299-936C-7C99A33EF6C9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1" name="Rectangle 10">
          <a:extLst>
            <a:ext uri="{FF2B5EF4-FFF2-40B4-BE49-F238E27FC236}">
              <a16:creationId xmlns:a16="http://schemas.microsoft.com/office/drawing/2014/main" id="{AAE3249A-B665-41E6-A403-C6542DECEEC4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2" name="Rectangle 11">
          <a:extLst>
            <a:ext uri="{FF2B5EF4-FFF2-40B4-BE49-F238E27FC236}">
              <a16:creationId xmlns:a16="http://schemas.microsoft.com/office/drawing/2014/main" id="{5115B42F-370C-449C-84BB-EEA5DA45E85A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3" name="Rectangle 12">
          <a:extLst>
            <a:ext uri="{FF2B5EF4-FFF2-40B4-BE49-F238E27FC236}">
              <a16:creationId xmlns:a16="http://schemas.microsoft.com/office/drawing/2014/main" id="{44338CE9-BAE4-47E5-870C-4156761135CA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14" name="Rectangle 13">
          <a:extLst>
            <a:ext uri="{FF2B5EF4-FFF2-40B4-BE49-F238E27FC236}">
              <a16:creationId xmlns:a16="http://schemas.microsoft.com/office/drawing/2014/main" id="{FAAB72AC-3648-472F-8165-4C37BECC287C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856EB1B-0DB0-4D90-97C1-4E1E293A0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2E8FE8B-DB70-4729-9EBA-D2316EEFA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8F5C2DB5-F47A-455C-9669-305016ED08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4" name="Rectangle 3">
          <a:extLst>
            <a:ext uri="{FF2B5EF4-FFF2-40B4-BE49-F238E27FC236}">
              <a16:creationId xmlns:a16="http://schemas.microsoft.com/office/drawing/2014/main" id="{5AE3CB10-2821-4D14-AA59-FADE5BFF13B0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5" name="Rectangle 4">
          <a:extLst>
            <a:ext uri="{FF2B5EF4-FFF2-40B4-BE49-F238E27FC236}">
              <a16:creationId xmlns:a16="http://schemas.microsoft.com/office/drawing/2014/main" id="{F8AAF9B7-3549-4702-B6BD-2DA1210538C6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6" name="Rectangle 5">
          <a:extLst>
            <a:ext uri="{FF2B5EF4-FFF2-40B4-BE49-F238E27FC236}">
              <a16:creationId xmlns:a16="http://schemas.microsoft.com/office/drawing/2014/main" id="{DC8B2701-86E6-4F58-B043-D97CECB9803D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7" name="Rectangle 6">
          <a:extLst>
            <a:ext uri="{FF2B5EF4-FFF2-40B4-BE49-F238E27FC236}">
              <a16:creationId xmlns:a16="http://schemas.microsoft.com/office/drawing/2014/main" id="{A02DF793-6358-44A7-91D2-8D3FD825A0A4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8" name="Rectangle 7">
          <a:extLst>
            <a:ext uri="{FF2B5EF4-FFF2-40B4-BE49-F238E27FC236}">
              <a16:creationId xmlns:a16="http://schemas.microsoft.com/office/drawing/2014/main" id="{C964FA9B-E033-4846-A04F-EC71068A421A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9" name="Rectangle 8">
          <a:extLst>
            <a:ext uri="{FF2B5EF4-FFF2-40B4-BE49-F238E27FC236}">
              <a16:creationId xmlns:a16="http://schemas.microsoft.com/office/drawing/2014/main" id="{24FF784A-A6F3-4E2B-9EF9-7D23BB99CA3D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10" name="Rectangle 9">
          <a:extLst>
            <a:ext uri="{FF2B5EF4-FFF2-40B4-BE49-F238E27FC236}">
              <a16:creationId xmlns:a16="http://schemas.microsoft.com/office/drawing/2014/main" id="{3C8B3134-03EA-4E2F-AB07-CA1C3769513B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11" name="Rectangle 10">
          <a:extLst>
            <a:ext uri="{FF2B5EF4-FFF2-40B4-BE49-F238E27FC236}">
              <a16:creationId xmlns:a16="http://schemas.microsoft.com/office/drawing/2014/main" id="{4E77A45C-6496-4EC7-98A9-2C51CF4AF214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SEPTEMBER</a:t>
          </a:r>
          <a:endParaRPr lang="tr-TR">
            <a:effectLst/>
          </a:endParaRPr>
        </a:p>
        <a:p>
          <a:pPr algn="ctr"/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2" name="Rectangle 11">
          <a:extLst>
            <a:ext uri="{FF2B5EF4-FFF2-40B4-BE49-F238E27FC236}">
              <a16:creationId xmlns:a16="http://schemas.microsoft.com/office/drawing/2014/main" id="{E9B298E5-D3C7-4B0A-A5F2-ABB6668C462D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3" name="Rectangle 12">
          <a:extLst>
            <a:ext uri="{FF2B5EF4-FFF2-40B4-BE49-F238E27FC236}">
              <a16:creationId xmlns:a16="http://schemas.microsoft.com/office/drawing/2014/main" id="{96E16C64-D75B-4524-BFC9-F4D887C3B14E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4" name="Rectangle 13">
          <a:extLst>
            <a:ext uri="{FF2B5EF4-FFF2-40B4-BE49-F238E27FC236}">
              <a16:creationId xmlns:a16="http://schemas.microsoft.com/office/drawing/2014/main" id="{FB5511DD-C61E-469C-AE77-7F146BBE6284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28" name="Rectangle 27">
          <a:extLst>
            <a:ext uri="{FF2B5EF4-FFF2-40B4-BE49-F238E27FC236}">
              <a16:creationId xmlns:a16="http://schemas.microsoft.com/office/drawing/2014/main" id="{22048FA7-11AB-4594-8023-B19F0BDC3ACE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29" name="Rectangle 28">
          <a:extLst>
            <a:ext uri="{FF2B5EF4-FFF2-40B4-BE49-F238E27FC236}">
              <a16:creationId xmlns:a16="http://schemas.microsoft.com/office/drawing/2014/main" id="{C9942B97-D89C-4C76-82EE-737973BCE3B1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8EF8DB0B-DCB3-4345-9086-47182F294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11F7CF2B-360A-4E27-B49C-C112BCDABB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8F8AF6A5-0A80-4AA4-878A-EBC0DF54CB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2" name="Rectangle 1">
          <a:extLst>
            <a:ext uri="{FF2B5EF4-FFF2-40B4-BE49-F238E27FC236}">
              <a16:creationId xmlns:a16="http://schemas.microsoft.com/office/drawing/2014/main" id="{2DF4A0BF-805C-446D-A2FB-C54902032D79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3" name="Rectangle 2">
          <a:extLst>
            <a:ext uri="{FF2B5EF4-FFF2-40B4-BE49-F238E27FC236}">
              <a16:creationId xmlns:a16="http://schemas.microsoft.com/office/drawing/2014/main" id="{95BC9C92-BD67-4FA5-BDE0-3A675143191B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" name="Rectangle 3">
          <a:extLst>
            <a:ext uri="{FF2B5EF4-FFF2-40B4-BE49-F238E27FC236}">
              <a16:creationId xmlns:a16="http://schemas.microsoft.com/office/drawing/2014/main" id="{597CE7BE-42A6-4EA3-8542-172E80A0C68D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5" name="Rectangle 4">
          <a:extLst>
            <a:ext uri="{FF2B5EF4-FFF2-40B4-BE49-F238E27FC236}">
              <a16:creationId xmlns:a16="http://schemas.microsoft.com/office/drawing/2014/main" id="{9356C0D5-E39D-4412-83BF-F7F81FB54278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6" name="Rectangle 5">
          <a:extLst>
            <a:ext uri="{FF2B5EF4-FFF2-40B4-BE49-F238E27FC236}">
              <a16:creationId xmlns:a16="http://schemas.microsoft.com/office/drawing/2014/main" id="{3AC202F8-E3B7-4254-9FDB-6306D8C6A57F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7" name="Rectangle 6">
          <a:extLst>
            <a:ext uri="{FF2B5EF4-FFF2-40B4-BE49-F238E27FC236}">
              <a16:creationId xmlns:a16="http://schemas.microsoft.com/office/drawing/2014/main" id="{00DEFE31-BCC0-4D33-A954-CDF4EB028A21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8" name="Rectangle 7">
          <a:extLst>
            <a:ext uri="{FF2B5EF4-FFF2-40B4-BE49-F238E27FC236}">
              <a16:creationId xmlns:a16="http://schemas.microsoft.com/office/drawing/2014/main" id="{80935A51-C64C-4086-8F91-1B7F4702C87A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9" name="Rectangle 8">
          <a:extLst>
            <a:ext uri="{FF2B5EF4-FFF2-40B4-BE49-F238E27FC236}">
              <a16:creationId xmlns:a16="http://schemas.microsoft.com/office/drawing/2014/main" id="{EEAECF74-C52F-4BE5-94B8-51927CFA1C33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0" name="Rectangle 9">
          <a:extLst>
            <a:ext uri="{FF2B5EF4-FFF2-40B4-BE49-F238E27FC236}">
              <a16:creationId xmlns:a16="http://schemas.microsoft.com/office/drawing/2014/main" id="{14AF03D2-8183-4119-AF4E-A795D1534F66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1" name="Rectangle 10">
          <a:extLst>
            <a:ext uri="{FF2B5EF4-FFF2-40B4-BE49-F238E27FC236}">
              <a16:creationId xmlns:a16="http://schemas.microsoft.com/office/drawing/2014/main" id="{DA0FBE9A-2729-47DF-B94F-869E8812CDB8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2" name="Rectangle 11">
          <a:extLst>
            <a:ext uri="{FF2B5EF4-FFF2-40B4-BE49-F238E27FC236}">
              <a16:creationId xmlns:a16="http://schemas.microsoft.com/office/drawing/2014/main" id="{51BC3D41-ADCA-4EAF-85BF-78E4B08B91BE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3" name="Rectangle 12">
          <a:extLst>
            <a:ext uri="{FF2B5EF4-FFF2-40B4-BE49-F238E27FC236}">
              <a16:creationId xmlns:a16="http://schemas.microsoft.com/office/drawing/2014/main" id="{B0F9AAB4-7AD1-4D69-862E-99E12054557C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14" name="Rectangle 13">
          <a:extLst>
            <a:ext uri="{FF2B5EF4-FFF2-40B4-BE49-F238E27FC236}">
              <a16:creationId xmlns:a16="http://schemas.microsoft.com/office/drawing/2014/main" id="{4C63A895-E5B0-4C57-BD96-8459CC05839A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C344CC8A-8CC5-49E9-976C-0E5C59284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296BE5A6-BD81-4B1C-BB54-611DB0970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F0FF9640-5914-4295-A09E-A9EA34DF8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2" name="Rectangle 1">
          <a:extLst>
            <a:ext uri="{FF2B5EF4-FFF2-40B4-BE49-F238E27FC236}">
              <a16:creationId xmlns:a16="http://schemas.microsoft.com/office/drawing/2014/main" id="{B6BB979F-9F8E-4BBA-A5FF-446506571006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3" name="Rectangle 2">
          <a:extLst>
            <a:ext uri="{FF2B5EF4-FFF2-40B4-BE49-F238E27FC236}">
              <a16:creationId xmlns:a16="http://schemas.microsoft.com/office/drawing/2014/main" id="{FEA133AA-B443-48B0-8E4A-E67941A15D0D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" name="Rectangle 3">
          <a:extLst>
            <a:ext uri="{FF2B5EF4-FFF2-40B4-BE49-F238E27FC236}">
              <a16:creationId xmlns:a16="http://schemas.microsoft.com/office/drawing/2014/main" id="{8F69D2C4-790D-4A83-8B73-039E80C9EAE1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5" name="Rectangle 4">
          <a:extLst>
            <a:ext uri="{FF2B5EF4-FFF2-40B4-BE49-F238E27FC236}">
              <a16:creationId xmlns:a16="http://schemas.microsoft.com/office/drawing/2014/main" id="{6C89503A-2083-46AF-83AD-B2A4A0D8F893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6" name="Rectangle 5">
          <a:extLst>
            <a:ext uri="{FF2B5EF4-FFF2-40B4-BE49-F238E27FC236}">
              <a16:creationId xmlns:a16="http://schemas.microsoft.com/office/drawing/2014/main" id="{BA2A3083-8FF7-4BE1-A3B3-63BA5B3BAFCE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7" name="Rectangle 6">
          <a:extLst>
            <a:ext uri="{FF2B5EF4-FFF2-40B4-BE49-F238E27FC236}">
              <a16:creationId xmlns:a16="http://schemas.microsoft.com/office/drawing/2014/main" id="{6162F747-1165-47B0-A433-C43D735F50CD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8" name="Rectangle 7">
          <a:extLst>
            <a:ext uri="{FF2B5EF4-FFF2-40B4-BE49-F238E27FC236}">
              <a16:creationId xmlns:a16="http://schemas.microsoft.com/office/drawing/2014/main" id="{6D627C2F-7BC2-455A-8F42-87E173DA16FA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9" name="Rectangle 8">
          <a:extLst>
            <a:ext uri="{FF2B5EF4-FFF2-40B4-BE49-F238E27FC236}">
              <a16:creationId xmlns:a16="http://schemas.microsoft.com/office/drawing/2014/main" id="{E0450085-1B76-444E-833D-E62797567FB1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0" name="Rectangle 9">
          <a:extLst>
            <a:ext uri="{FF2B5EF4-FFF2-40B4-BE49-F238E27FC236}">
              <a16:creationId xmlns:a16="http://schemas.microsoft.com/office/drawing/2014/main" id="{6031066B-82E6-4CD6-93EC-61A1E0E9769D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1" name="Rectangle 10">
          <a:extLst>
            <a:ext uri="{FF2B5EF4-FFF2-40B4-BE49-F238E27FC236}">
              <a16:creationId xmlns:a16="http://schemas.microsoft.com/office/drawing/2014/main" id="{A7256B09-E797-4F6B-BBDF-7C05F17B712C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2" name="Rectangle 11">
          <a:extLst>
            <a:ext uri="{FF2B5EF4-FFF2-40B4-BE49-F238E27FC236}">
              <a16:creationId xmlns:a16="http://schemas.microsoft.com/office/drawing/2014/main" id="{7A4E4B56-B30E-45F3-8F23-A738078F6BCC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3" name="Rectangle 12">
          <a:extLst>
            <a:ext uri="{FF2B5EF4-FFF2-40B4-BE49-F238E27FC236}">
              <a16:creationId xmlns:a16="http://schemas.microsoft.com/office/drawing/2014/main" id="{A057F350-78DF-45EA-87A3-B62C2138505C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14" name="Rectangle 13">
          <a:extLst>
            <a:ext uri="{FF2B5EF4-FFF2-40B4-BE49-F238E27FC236}">
              <a16:creationId xmlns:a16="http://schemas.microsoft.com/office/drawing/2014/main" id="{67FAE0B4-7385-43FA-A040-62395AC63614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E6CD20B-6E1E-4B17-810F-8CA3EE30F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861B861-24E0-4BDA-9CDB-B7A0D03058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5096E2C-2C70-4205-A819-E3A5D6D15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152400</xdr:rowOff>
    </xdr:from>
    <xdr:to>
      <xdr:col>0</xdr:col>
      <xdr:colOff>1485900</xdr:colOff>
      <xdr:row>8</xdr:row>
      <xdr:rowOff>38100</xdr:rowOff>
    </xdr:to>
    <xdr:sp macro="[0]!Şubata_Git" textlink="">
      <xdr:nvSpPr>
        <xdr:cNvPr id="2" name="Rectangle 1">
          <a:extLst>
            <a:ext uri="{FF2B5EF4-FFF2-40B4-BE49-F238E27FC236}">
              <a16:creationId xmlns:a16="http://schemas.microsoft.com/office/drawing/2014/main" id="{107786D1-E9C1-465F-BD9D-907B0C15DF96}"/>
            </a:ext>
          </a:extLst>
        </xdr:cNvPr>
        <xdr:cNvSpPr/>
      </xdr:nvSpPr>
      <xdr:spPr>
        <a:xfrm>
          <a:off x="0" y="12954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FEBRUARY</a:t>
          </a:r>
        </a:p>
      </xdr:txBody>
    </xdr:sp>
    <xdr:clientData/>
  </xdr:twoCellAnchor>
  <xdr:twoCellAnchor>
    <xdr:from>
      <xdr:col>0</xdr:col>
      <xdr:colOff>0</xdr:colOff>
      <xdr:row>8</xdr:row>
      <xdr:rowOff>38100</xdr:rowOff>
    </xdr:from>
    <xdr:to>
      <xdr:col>0</xdr:col>
      <xdr:colOff>1485900</xdr:colOff>
      <xdr:row>9</xdr:row>
      <xdr:rowOff>114300</xdr:rowOff>
    </xdr:to>
    <xdr:sp macro="[0]!Marta_Git" textlink="">
      <xdr:nvSpPr>
        <xdr:cNvPr id="3" name="Rectangle 2">
          <a:extLst>
            <a:ext uri="{FF2B5EF4-FFF2-40B4-BE49-F238E27FC236}">
              <a16:creationId xmlns:a16="http://schemas.microsoft.com/office/drawing/2014/main" id="{693ADF89-9713-4B77-B076-360C0C2F2CB3}"/>
            </a:ext>
          </a:extLst>
        </xdr:cNvPr>
        <xdr:cNvSpPr/>
      </xdr:nvSpPr>
      <xdr:spPr>
        <a:xfrm>
          <a:off x="0" y="15621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MARCH</a:t>
          </a: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0</xdr:col>
      <xdr:colOff>1485900</xdr:colOff>
      <xdr:row>11</xdr:row>
      <xdr:rowOff>0</xdr:rowOff>
    </xdr:to>
    <xdr:sp macro="[0]!Nisan" textlink="">
      <xdr:nvSpPr>
        <xdr:cNvPr id="4" name="Rectangle 3">
          <a:extLst>
            <a:ext uri="{FF2B5EF4-FFF2-40B4-BE49-F238E27FC236}">
              <a16:creationId xmlns:a16="http://schemas.microsoft.com/office/drawing/2014/main" id="{06D875BC-81A1-47F4-8578-0637D40D6EFD}"/>
            </a:ext>
          </a:extLst>
        </xdr:cNvPr>
        <xdr:cNvSpPr/>
      </xdr:nvSpPr>
      <xdr:spPr>
        <a:xfrm>
          <a:off x="0" y="18288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APRİL</a:t>
          </a:r>
        </a:p>
      </xdr:txBody>
    </xdr:sp>
    <xdr:clientData/>
  </xdr:twoCellAnchor>
  <xdr:twoCellAnchor>
    <xdr:from>
      <xdr:col>0</xdr:col>
      <xdr:colOff>0</xdr:colOff>
      <xdr:row>12</xdr:row>
      <xdr:rowOff>66675</xdr:rowOff>
    </xdr:from>
    <xdr:to>
      <xdr:col>0</xdr:col>
      <xdr:colOff>1485900</xdr:colOff>
      <xdr:row>13</xdr:row>
      <xdr:rowOff>142875</xdr:rowOff>
    </xdr:to>
    <xdr:sp macro="[0]!Haziran" textlink="">
      <xdr:nvSpPr>
        <xdr:cNvPr id="5" name="Rectangle 4">
          <a:extLst>
            <a:ext uri="{FF2B5EF4-FFF2-40B4-BE49-F238E27FC236}">
              <a16:creationId xmlns:a16="http://schemas.microsoft.com/office/drawing/2014/main" id="{89F0E00E-31EF-4D2C-8F19-961779C6BD30}"/>
            </a:ext>
          </a:extLst>
        </xdr:cNvPr>
        <xdr:cNvSpPr/>
      </xdr:nvSpPr>
      <xdr:spPr>
        <a:xfrm>
          <a:off x="0" y="23526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JUNE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1485900</xdr:colOff>
      <xdr:row>12</xdr:row>
      <xdr:rowOff>76200</xdr:rowOff>
    </xdr:to>
    <xdr:sp macro="[0]!Mayıs" textlink="">
      <xdr:nvSpPr>
        <xdr:cNvPr id="6" name="Rectangle 5">
          <a:extLst>
            <a:ext uri="{FF2B5EF4-FFF2-40B4-BE49-F238E27FC236}">
              <a16:creationId xmlns:a16="http://schemas.microsoft.com/office/drawing/2014/main" id="{8F4FF441-2893-4A56-94E5-2EDE39B91D07}"/>
            </a:ext>
          </a:extLst>
        </xdr:cNvPr>
        <xdr:cNvSpPr/>
      </xdr:nvSpPr>
      <xdr:spPr>
        <a:xfrm>
          <a:off x="0" y="20955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MAY</a:t>
          </a:r>
        </a:p>
      </xdr:txBody>
    </xdr:sp>
    <xdr:clientData/>
  </xdr:twoCellAnchor>
  <xdr:twoCellAnchor>
    <xdr:from>
      <xdr:col>0</xdr:col>
      <xdr:colOff>0</xdr:colOff>
      <xdr:row>13</xdr:row>
      <xdr:rowOff>133350</xdr:rowOff>
    </xdr:from>
    <xdr:to>
      <xdr:col>0</xdr:col>
      <xdr:colOff>1485900</xdr:colOff>
      <xdr:row>15</xdr:row>
      <xdr:rowOff>19050</xdr:rowOff>
    </xdr:to>
    <xdr:sp macro="[0]!Temmuza_Git" textlink="">
      <xdr:nvSpPr>
        <xdr:cNvPr id="7" name="Rectangle 6">
          <a:extLst>
            <a:ext uri="{FF2B5EF4-FFF2-40B4-BE49-F238E27FC236}">
              <a16:creationId xmlns:a16="http://schemas.microsoft.com/office/drawing/2014/main" id="{E4D031CA-CCF1-43C4-8729-FC587FB419E5}"/>
            </a:ext>
          </a:extLst>
        </xdr:cNvPr>
        <xdr:cNvSpPr/>
      </xdr:nvSpPr>
      <xdr:spPr>
        <a:xfrm>
          <a:off x="0" y="260985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JULY</a:t>
          </a:r>
        </a:p>
      </xdr:txBody>
    </xdr:sp>
    <xdr:clientData/>
  </xdr:twoCellAnchor>
  <xdr:twoCellAnchor>
    <xdr:from>
      <xdr:col>0</xdr:col>
      <xdr:colOff>0</xdr:colOff>
      <xdr:row>15</xdr:row>
      <xdr:rowOff>9525</xdr:rowOff>
    </xdr:from>
    <xdr:to>
      <xdr:col>0</xdr:col>
      <xdr:colOff>1485900</xdr:colOff>
      <xdr:row>16</xdr:row>
      <xdr:rowOff>85725</xdr:rowOff>
    </xdr:to>
    <xdr:sp macro="[0]!Ağustosa_Git" textlink="">
      <xdr:nvSpPr>
        <xdr:cNvPr id="8" name="Rectangle 7">
          <a:extLst>
            <a:ext uri="{FF2B5EF4-FFF2-40B4-BE49-F238E27FC236}">
              <a16:creationId xmlns:a16="http://schemas.microsoft.com/office/drawing/2014/main" id="{6F19EC67-67F6-43C6-A0B4-9F79EEE9B929}"/>
            </a:ext>
          </a:extLst>
        </xdr:cNvPr>
        <xdr:cNvSpPr/>
      </xdr:nvSpPr>
      <xdr:spPr>
        <a:xfrm>
          <a:off x="0" y="28670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AUGUST</a:t>
          </a: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0</xdr:col>
      <xdr:colOff>1485900</xdr:colOff>
      <xdr:row>17</xdr:row>
      <xdr:rowOff>161925</xdr:rowOff>
    </xdr:to>
    <xdr:sp macro="[0]!Eylüle_Git" textlink="">
      <xdr:nvSpPr>
        <xdr:cNvPr id="9" name="Rectangle 8">
          <a:extLst>
            <a:ext uri="{FF2B5EF4-FFF2-40B4-BE49-F238E27FC236}">
              <a16:creationId xmlns:a16="http://schemas.microsoft.com/office/drawing/2014/main" id="{9CF20372-B0C8-4F7A-800D-F3D4CE28363B}"/>
            </a:ext>
          </a:extLst>
        </xdr:cNvPr>
        <xdr:cNvSpPr/>
      </xdr:nvSpPr>
      <xdr:spPr>
        <a:xfrm>
          <a:off x="0" y="31337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SEPTEMBER</a:t>
          </a:r>
        </a:p>
      </xdr:txBody>
    </xdr:sp>
    <xdr:clientData/>
  </xdr:twoCellAnchor>
  <xdr:twoCellAnchor>
    <xdr:from>
      <xdr:col>0</xdr:col>
      <xdr:colOff>0</xdr:colOff>
      <xdr:row>19</xdr:row>
      <xdr:rowOff>28575</xdr:rowOff>
    </xdr:from>
    <xdr:to>
      <xdr:col>0</xdr:col>
      <xdr:colOff>1485900</xdr:colOff>
      <xdr:row>20</xdr:row>
      <xdr:rowOff>104775</xdr:rowOff>
    </xdr:to>
    <xdr:sp macro="[0]!Kasıma_Git" textlink="">
      <xdr:nvSpPr>
        <xdr:cNvPr id="10" name="Rectangle 9">
          <a:extLst>
            <a:ext uri="{FF2B5EF4-FFF2-40B4-BE49-F238E27FC236}">
              <a16:creationId xmlns:a16="http://schemas.microsoft.com/office/drawing/2014/main" id="{0472208F-0886-4728-B64E-04812BA8DBA8}"/>
            </a:ext>
          </a:extLst>
        </xdr:cNvPr>
        <xdr:cNvSpPr/>
      </xdr:nvSpPr>
      <xdr:spPr>
        <a:xfrm>
          <a:off x="0" y="364807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NOVEMBER</a:t>
          </a:r>
        </a:p>
      </xdr:txBody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1485900</xdr:colOff>
      <xdr:row>21</xdr:row>
      <xdr:rowOff>171450</xdr:rowOff>
    </xdr:to>
    <xdr:sp macro="[0]!Aralıka_Git" textlink="">
      <xdr:nvSpPr>
        <xdr:cNvPr id="11" name="Rectangle 10">
          <a:extLst>
            <a:ext uri="{FF2B5EF4-FFF2-40B4-BE49-F238E27FC236}">
              <a16:creationId xmlns:a16="http://schemas.microsoft.com/office/drawing/2014/main" id="{B1D6C11E-B60B-4E3A-A5FA-B0D39EA19989}"/>
            </a:ext>
          </a:extLst>
        </xdr:cNvPr>
        <xdr:cNvSpPr/>
      </xdr:nvSpPr>
      <xdr:spPr>
        <a:xfrm>
          <a:off x="0" y="3905250"/>
          <a:ext cx="1485900" cy="2667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DECEMBER</a:t>
          </a:r>
        </a:p>
      </xdr:txBody>
    </xdr:sp>
    <xdr:clientData/>
  </xdr:twoCellAnchor>
  <xdr:twoCellAnchor>
    <xdr:from>
      <xdr:col>0</xdr:col>
      <xdr:colOff>9525</xdr:colOff>
      <xdr:row>4</xdr:row>
      <xdr:rowOff>0</xdr:rowOff>
    </xdr:from>
    <xdr:to>
      <xdr:col>1</xdr:col>
      <xdr:colOff>0</xdr:colOff>
      <xdr:row>5</xdr:row>
      <xdr:rowOff>76200</xdr:rowOff>
    </xdr:to>
    <xdr:sp macro="[0]!Anasayfaya_Git" textlink="">
      <xdr:nvSpPr>
        <xdr:cNvPr id="12" name="Rectangle 11">
          <a:extLst>
            <a:ext uri="{FF2B5EF4-FFF2-40B4-BE49-F238E27FC236}">
              <a16:creationId xmlns:a16="http://schemas.microsoft.com/office/drawing/2014/main" id="{FF9DF2E9-270A-49AF-85F4-8AAB26AD1C0B}"/>
            </a:ext>
          </a:extLst>
        </xdr:cNvPr>
        <xdr:cNvSpPr/>
      </xdr:nvSpPr>
      <xdr:spPr>
        <a:xfrm>
          <a:off x="9525" y="762000"/>
          <a:ext cx="1485900" cy="2667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152400</xdr:rowOff>
    </xdr:from>
    <xdr:to>
      <xdr:col>0</xdr:col>
      <xdr:colOff>1485900</xdr:colOff>
      <xdr:row>19</xdr:row>
      <xdr:rowOff>38100</xdr:rowOff>
    </xdr:to>
    <xdr:sp macro="[0]!Ekime_Git" textlink="">
      <xdr:nvSpPr>
        <xdr:cNvPr id="13" name="Rectangle 12">
          <a:extLst>
            <a:ext uri="{FF2B5EF4-FFF2-40B4-BE49-F238E27FC236}">
              <a16:creationId xmlns:a16="http://schemas.microsoft.com/office/drawing/2014/main" id="{196E3201-BD19-4A23-8C5A-D777F8B68174}"/>
            </a:ext>
          </a:extLst>
        </xdr:cNvPr>
        <xdr:cNvSpPr/>
      </xdr:nvSpPr>
      <xdr:spPr>
        <a:xfrm>
          <a:off x="0" y="3390900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OCTOBER</a:t>
          </a:r>
        </a:p>
      </xdr:txBody>
    </xdr:sp>
    <xdr:clientData/>
  </xdr:twoCellAnchor>
  <xdr:twoCellAnchor>
    <xdr:from>
      <xdr:col>0</xdr:col>
      <xdr:colOff>0</xdr:colOff>
      <xdr:row>5</xdr:row>
      <xdr:rowOff>85725</xdr:rowOff>
    </xdr:from>
    <xdr:to>
      <xdr:col>0</xdr:col>
      <xdr:colOff>1485900</xdr:colOff>
      <xdr:row>6</xdr:row>
      <xdr:rowOff>161925</xdr:rowOff>
    </xdr:to>
    <xdr:sp macro="[0]!Ocaka_Git" textlink="">
      <xdr:nvSpPr>
        <xdr:cNvPr id="14" name="Rectangle 13">
          <a:extLst>
            <a:ext uri="{FF2B5EF4-FFF2-40B4-BE49-F238E27FC236}">
              <a16:creationId xmlns:a16="http://schemas.microsoft.com/office/drawing/2014/main" id="{137703E4-1F2A-411B-9033-098458979FB7}"/>
            </a:ext>
          </a:extLst>
        </xdr:cNvPr>
        <xdr:cNvSpPr/>
      </xdr:nvSpPr>
      <xdr:spPr>
        <a:xfrm>
          <a:off x="0" y="1038225"/>
          <a:ext cx="14859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JANUARY</a:t>
          </a:r>
        </a:p>
      </xdr:txBody>
    </xdr:sp>
    <xdr:clientData/>
  </xdr:twoCellAnchor>
  <xdr:twoCellAnchor>
    <xdr:from>
      <xdr:col>14</xdr:col>
      <xdr:colOff>123823</xdr:colOff>
      <xdr:row>5</xdr:row>
      <xdr:rowOff>14287</xdr:rowOff>
    </xdr:from>
    <xdr:to>
      <xdr:col>17</xdr:col>
      <xdr:colOff>485772</xdr:colOff>
      <xdr:row>18</xdr:row>
      <xdr:rowOff>33338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9BF5D75F-04AB-4E5A-9EA9-CE4BA9DA96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5</xdr:row>
      <xdr:rowOff>4762</xdr:rowOff>
    </xdr:from>
    <xdr:to>
      <xdr:col>14</xdr:col>
      <xdr:colOff>9525</xdr:colOff>
      <xdr:row>18</xdr:row>
      <xdr:rowOff>33337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2E7986F-C8C4-4FC4-85E8-47E74824E6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</xdr:row>
      <xdr:rowOff>0</xdr:rowOff>
    </xdr:from>
    <xdr:to>
      <xdr:col>9</xdr:col>
      <xdr:colOff>523874</xdr:colOff>
      <xdr:row>18</xdr:row>
      <xdr:rowOff>42863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BB4A6EA0-0F3F-4A94-804C-F33E81E8D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560E-DCC5-421A-96D1-2CCC56C8766E}">
  <sheetPr codeName="Sheet1"/>
  <dimension ref="A1:T22"/>
  <sheetViews>
    <sheetView showGridLines="0" topLeftCell="A3" zoomScaleNormal="100" workbookViewId="0">
      <selection activeCell="L21" sqref="L21"/>
    </sheetView>
  </sheetViews>
  <sheetFormatPr defaultRowHeight="15" x14ac:dyDescent="0.25"/>
  <cols>
    <col min="1" max="1" width="22.42578125" style="1" customWidth="1"/>
    <col min="2" max="2" width="10.7109375" customWidth="1"/>
    <col min="3" max="3" width="12.7109375" customWidth="1"/>
    <col min="4" max="4" width="9.140625" customWidth="1"/>
    <col min="5" max="5" width="15" customWidth="1"/>
  </cols>
  <sheetData>
    <row r="1" spans="1:20" hidden="1" x14ac:dyDescent="0.25">
      <c r="A1" s="9"/>
      <c r="B1" s="10"/>
    </row>
    <row r="2" spans="1:20" hidden="1" x14ac:dyDescent="0.25">
      <c r="A2" s="9"/>
      <c r="B2" s="10"/>
    </row>
    <row r="3" spans="1:20" x14ac:dyDescent="0.25">
      <c r="A3" s="7"/>
      <c r="B3" s="74" t="s">
        <v>4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</row>
    <row r="4" spans="1:20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</row>
    <row r="6" spans="1:20" x14ac:dyDescent="0.25">
      <c r="C6" s="38" t="s">
        <v>33</v>
      </c>
      <c r="D6" s="40" t="s">
        <v>15</v>
      </c>
      <c r="E6" s="39" t="s">
        <v>32</v>
      </c>
    </row>
    <row r="7" spans="1:20" x14ac:dyDescent="0.25">
      <c r="C7" s="11" t="s">
        <v>29</v>
      </c>
      <c r="D7" s="12">
        <v>300000</v>
      </c>
      <c r="E7" s="58" t="s">
        <v>46</v>
      </c>
    </row>
    <row r="8" spans="1:20" x14ac:dyDescent="0.25">
      <c r="C8" s="14" t="s">
        <v>30</v>
      </c>
      <c r="D8" s="15">
        <f>Ocak!D8+Şubat!D8+Mart!D8+Nisan!D8+Mayıs!D8+Haziran!D8+Temmuz!D8+Ağustos!D8+Eylül!D8+Ekim!D8+Kasım!D8+Aralık!D8</f>
        <v>27000</v>
      </c>
      <c r="E8" s="57" t="s">
        <v>46</v>
      </c>
    </row>
    <row r="9" spans="1:20" x14ac:dyDescent="0.25">
      <c r="C9" s="63" t="s">
        <v>31</v>
      </c>
      <c r="D9" s="64">
        <f>Ocak!D9+Şubat!D9+Mart!D9+Nisan!D9+Mayıs!D9+Haziran!D9+Temmuz!D9+Ağustos!D9+Eylül!D9+Ekim!D9+Kasım!D9+Aralık!D9</f>
        <v>269609</v>
      </c>
      <c r="E9" s="58" t="s">
        <v>46</v>
      </c>
      <c r="K9" s="73" t="s">
        <v>34</v>
      </c>
      <c r="L9" s="73">
        <f>Ocak!H13</f>
        <v>30370</v>
      </c>
    </row>
    <row r="10" spans="1:20" x14ac:dyDescent="0.25">
      <c r="C10" s="4" t="s">
        <v>24</v>
      </c>
      <c r="D10" s="6">
        <f>SUM(D7-(D8+D9))</f>
        <v>3391</v>
      </c>
      <c r="E10" s="65" t="s">
        <v>46</v>
      </c>
      <c r="K10" s="73" t="s">
        <v>35</v>
      </c>
      <c r="L10" s="73">
        <f>Şubat!H13</f>
        <v>40112</v>
      </c>
    </row>
    <row r="11" spans="1:20" x14ac:dyDescent="0.25">
      <c r="C11" s="17"/>
      <c r="D11" s="18"/>
      <c r="E11" s="22"/>
      <c r="K11" s="73" t="s">
        <v>36</v>
      </c>
      <c r="L11" s="73">
        <f>Mart!H13</f>
        <v>27219</v>
      </c>
    </row>
    <row r="12" spans="1:20" x14ac:dyDescent="0.25">
      <c r="C12" s="11" t="s">
        <v>18</v>
      </c>
      <c r="D12" s="69" t="s">
        <v>46</v>
      </c>
      <c r="E12" s="58">
        <f>Ocak!E12+Şubat!E12+Mart!E12+Nisan!E12+Mayıs!E12+Haziran!E12+Temmuz!E12+Ağustos!E12+Eylül!E12+Ekim!E12+Kasım!E12+Aralık!E12</f>
        <v>36</v>
      </c>
      <c r="K12" s="73" t="s">
        <v>37</v>
      </c>
      <c r="L12" s="73">
        <f>Nisan!H13</f>
        <v>19334</v>
      </c>
    </row>
    <row r="13" spans="1:20" x14ac:dyDescent="0.25">
      <c r="C13" s="14" t="s">
        <v>0</v>
      </c>
      <c r="D13" s="70" t="s">
        <v>46</v>
      </c>
      <c r="E13" s="57">
        <f>Ocak!E13+Şubat!E13+Mart!E13+Nisan!E13+Mayıs!E13+Haziran!E13+Temmuz!E13+Ağustos!E13+Eylül!E13+Ekim!E13+Kasım!E13+Aralık!E13</f>
        <v>40</v>
      </c>
      <c r="K13" s="73" t="s">
        <v>38</v>
      </c>
      <c r="L13" s="73">
        <f>Mayıs!H13</f>
        <v>71040</v>
      </c>
    </row>
    <row r="14" spans="1:20" x14ac:dyDescent="0.25">
      <c r="C14" s="11" t="s">
        <v>1</v>
      </c>
      <c r="D14" s="69" t="s">
        <v>46</v>
      </c>
      <c r="E14" s="58">
        <f>Ocak!E14+Şubat!E14+Mart!E14+Nisan!E14+Mayıs!E14+Haziran!E14+Temmuz!E14+Ağustos!E14+Eylül!E14+Ekim!E14+Kasım!E14+Aralık!E14</f>
        <v>75</v>
      </c>
      <c r="K14" s="73" t="s">
        <v>39</v>
      </c>
      <c r="L14" s="73">
        <f>Haziran!H13</f>
        <v>16710</v>
      </c>
    </row>
    <row r="15" spans="1:20" x14ac:dyDescent="0.25">
      <c r="C15" s="14" t="s">
        <v>2</v>
      </c>
      <c r="D15" s="70" t="s">
        <v>46</v>
      </c>
      <c r="E15" s="57">
        <f>Ocak!E15+Şubat!E15+Mart!E15+Nisan!E15+Mayıs!E15+Haziran!E15+Temmuz!E15+Ağustos!E15+Eylül!E15+Ekim!E15+Kasım!E15+Aralık!E15</f>
        <v>73</v>
      </c>
      <c r="K15" s="73" t="s">
        <v>40</v>
      </c>
      <c r="L15" s="73">
        <f>Temmuz!H13</f>
        <v>17605</v>
      </c>
    </row>
    <row r="16" spans="1:20" x14ac:dyDescent="0.25">
      <c r="C16" s="2" t="s">
        <v>3</v>
      </c>
      <c r="D16" s="71" t="s">
        <v>46</v>
      </c>
      <c r="E16" s="67">
        <f>Ocak!E16+Şubat!E16+Mart!E16+Nisan!E16+Mayıs!E16+Haziran!E16+Temmuz!E16+Ağustos!E16+Eylül!E16+Ekim!E16+Kasım!E16+Aralık!E16</f>
        <v>74</v>
      </c>
      <c r="K16" s="73" t="s">
        <v>41</v>
      </c>
      <c r="L16" s="73">
        <f>Ağustos!H13</f>
        <v>16652</v>
      </c>
    </row>
    <row r="17" spans="3:12" x14ac:dyDescent="0.25">
      <c r="C17" s="17"/>
      <c r="D17" s="66"/>
      <c r="E17" s="68"/>
      <c r="K17" s="73" t="s">
        <v>42</v>
      </c>
      <c r="L17" s="73">
        <f>Eylül!H13</f>
        <v>15762</v>
      </c>
    </row>
    <row r="18" spans="3:12" x14ac:dyDescent="0.25">
      <c r="C18" s="11" t="s">
        <v>19</v>
      </c>
      <c r="D18" s="69" t="s">
        <v>46</v>
      </c>
      <c r="E18" s="58">
        <f>Ocak!E18+Şubat!E18+Mart!E18+Nisan!E18+Mayıs!E18+Haziran!E18+Temmuz!E18+Ağustos!E18+Eylül!E18+Ekim!E18+Kasım!E18+Aralık!E18</f>
        <v>1038</v>
      </c>
      <c r="K18" s="73" t="s">
        <v>43</v>
      </c>
      <c r="L18" s="73">
        <f>Ekim!H13</f>
        <v>16326</v>
      </c>
    </row>
    <row r="19" spans="3:12" x14ac:dyDescent="0.25">
      <c r="C19" s="14" t="s">
        <v>25</v>
      </c>
      <c r="D19" s="70" t="s">
        <v>46</v>
      </c>
      <c r="E19" s="57">
        <f>Ocak!E19+Şubat!E19+Mart!E19+Nisan!E19+Mayıs!E19+Haziran!E19+Temmuz!E19+Ağustos!E19+Eylül!E19+Ekim!E19+Kasım!E19+Aralık!E19</f>
        <v>5079</v>
      </c>
      <c r="K19" s="73" t="s">
        <v>44</v>
      </c>
      <c r="L19" s="73">
        <f>Kasım!H13</f>
        <v>12859</v>
      </c>
    </row>
    <row r="20" spans="3:12" x14ac:dyDescent="0.25">
      <c r="C20" s="11" t="s">
        <v>26</v>
      </c>
      <c r="D20" s="69" t="s">
        <v>46</v>
      </c>
      <c r="E20" s="58">
        <f>Ocak!E20+Şubat!E20+Mart!E20+Nisan!E20+Mayıs!E20+Haziran!E20+Temmuz!E20+Ağustos!E20+Eylül!E20+Ekim!E20+Kasım!E20+Aralık!E20</f>
        <v>3127</v>
      </c>
      <c r="K20" s="73" t="s">
        <v>45</v>
      </c>
      <c r="L20" s="73">
        <f>Aralık!H13</f>
        <v>12620</v>
      </c>
    </row>
    <row r="21" spans="3:12" x14ac:dyDescent="0.25">
      <c r="C21" s="14" t="s">
        <v>20</v>
      </c>
      <c r="D21" s="70" t="s">
        <v>46</v>
      </c>
      <c r="E21" s="57">
        <f>Ocak!E21+Şubat!E21+Mart!E21+Nisan!E21+Mayıs!E21+Haziran!E21+Temmuz!E21+Ağustos!E21+Eylül!E21+Ekim!E21+Kasım!E21+Aralık!E21</f>
        <v>2111</v>
      </c>
      <c r="K21" s="73"/>
      <c r="L21" s="73"/>
    </row>
    <row r="22" spans="3:12" x14ac:dyDescent="0.25">
      <c r="C22" s="2" t="s">
        <v>27</v>
      </c>
      <c r="D22" s="71" t="s">
        <v>46</v>
      </c>
      <c r="E22" s="67">
        <f>Ocak!E22+Şubat!E22+Mart!E22+Nisan!E22+Mayıs!E22+Haziran!E22+Temmuz!E22+Ağustos!E22+Eylül!E22+Ekim!E22+Kasım!E22+Aralık!E22</f>
        <v>1101</v>
      </c>
      <c r="H22" s="72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A41D-59A3-4704-9C73-9E97AC72EC34}">
  <sheetPr codeName="Sheet2"/>
  <dimension ref="A1:V22"/>
  <sheetViews>
    <sheetView showGridLines="0" topLeftCell="A3" zoomScaleNormal="100" workbookViewId="0">
      <selection activeCell="H22" sqref="H22"/>
    </sheetView>
  </sheetViews>
  <sheetFormatPr defaultRowHeight="15" x14ac:dyDescent="0.25"/>
  <cols>
    <col min="1" max="1" width="22.42578125" style="1" customWidth="1"/>
    <col min="2" max="2" width="10.7109375" customWidth="1"/>
    <col min="3" max="4" width="9.140625" customWidth="1"/>
  </cols>
  <sheetData>
    <row r="1" spans="1:22" hidden="1" x14ac:dyDescent="0.25">
      <c r="A1" s="9"/>
      <c r="B1" s="10"/>
    </row>
    <row r="2" spans="1:22" hidden="1" x14ac:dyDescent="0.25">
      <c r="A2" s="9"/>
      <c r="B2" s="10"/>
    </row>
    <row r="3" spans="1:22" x14ac:dyDescent="0.25">
      <c r="A3" s="7"/>
      <c r="B3" s="74" t="s">
        <v>14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</row>
    <row r="4" spans="1:22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</row>
    <row r="6" spans="1:22" x14ac:dyDescent="0.25">
      <c r="C6" s="35" t="s">
        <v>16</v>
      </c>
      <c r="D6" s="36" t="s">
        <v>15</v>
      </c>
      <c r="E6" s="36" t="s">
        <v>17</v>
      </c>
      <c r="F6" s="37" t="s">
        <v>47</v>
      </c>
      <c r="G6" s="73"/>
      <c r="H6" s="73"/>
      <c r="I6" s="73"/>
      <c r="J6" s="73"/>
    </row>
    <row r="7" spans="1:22" x14ac:dyDescent="0.25">
      <c r="C7" s="29" t="s">
        <v>21</v>
      </c>
      <c r="D7" s="30">
        <v>300000</v>
      </c>
      <c r="E7" s="31" t="s">
        <v>46</v>
      </c>
      <c r="F7" s="32" t="s">
        <v>46</v>
      </c>
      <c r="G7" s="73"/>
      <c r="H7" s="73"/>
      <c r="I7" s="73"/>
      <c r="J7" s="73"/>
    </row>
    <row r="8" spans="1:22" x14ac:dyDescent="0.25">
      <c r="C8" s="23" t="s">
        <v>22</v>
      </c>
      <c r="D8" s="24">
        <v>5000</v>
      </c>
      <c r="E8" s="33" t="s">
        <v>46</v>
      </c>
      <c r="F8" s="34" t="s">
        <v>46</v>
      </c>
      <c r="G8" s="73"/>
      <c r="H8" s="73"/>
      <c r="I8" s="73"/>
      <c r="J8" s="73"/>
    </row>
    <row r="9" spans="1:22" x14ac:dyDescent="0.25">
      <c r="C9" s="29" t="s">
        <v>23</v>
      </c>
      <c r="D9" s="30">
        <f>D12*E12+D13*E13+D14*E14+D15*E15+D16*E16+D18*E18+D19*E19+D20*E20+D21*E21+D22*E22</f>
        <v>25370</v>
      </c>
      <c r="E9" s="31" t="s">
        <v>46</v>
      </c>
      <c r="F9" s="32" t="s">
        <v>46</v>
      </c>
      <c r="G9" s="73"/>
      <c r="H9" s="73"/>
      <c r="I9" s="73"/>
      <c r="J9" s="73"/>
    </row>
    <row r="10" spans="1:22" x14ac:dyDescent="0.25">
      <c r="C10" s="23" t="s">
        <v>24</v>
      </c>
      <c r="D10" s="24">
        <f>SUM(D7-(D8+D9))</f>
        <v>269630</v>
      </c>
      <c r="E10" s="33" t="s">
        <v>46</v>
      </c>
      <c r="F10" s="34" t="s">
        <v>46</v>
      </c>
      <c r="G10" s="73"/>
      <c r="H10" s="73"/>
      <c r="I10" s="73"/>
      <c r="J10" s="73"/>
    </row>
    <row r="11" spans="1:22" x14ac:dyDescent="0.25">
      <c r="C11" s="17"/>
      <c r="D11" s="18"/>
      <c r="E11" s="18"/>
      <c r="F11" s="22"/>
      <c r="G11" s="73"/>
      <c r="H11" s="73"/>
      <c r="I11" s="73"/>
      <c r="J11" s="73"/>
    </row>
    <row r="12" spans="1:22" x14ac:dyDescent="0.25">
      <c r="C12" s="11" t="s">
        <v>18</v>
      </c>
      <c r="D12" s="12">
        <v>100</v>
      </c>
      <c r="E12" s="12">
        <v>1</v>
      </c>
      <c r="F12" s="13">
        <f>D12*E12</f>
        <v>100</v>
      </c>
      <c r="G12" s="73"/>
      <c r="H12" s="73"/>
      <c r="I12" s="73"/>
      <c r="J12" s="73"/>
    </row>
    <row r="13" spans="1:22" x14ac:dyDescent="0.25">
      <c r="C13" s="23" t="s">
        <v>0</v>
      </c>
      <c r="D13" s="24">
        <v>250</v>
      </c>
      <c r="E13" s="24">
        <v>4</v>
      </c>
      <c r="F13" s="25">
        <f t="shared" ref="F13:F16" si="0">D13*E13</f>
        <v>1000</v>
      </c>
      <c r="G13" s="73"/>
      <c r="H13" s="73">
        <f>D8+D9</f>
        <v>30370</v>
      </c>
      <c r="I13" s="73"/>
      <c r="J13" s="73"/>
    </row>
    <row r="14" spans="1:22" x14ac:dyDescent="0.25">
      <c r="C14" s="11" t="s">
        <v>1</v>
      </c>
      <c r="D14" s="12">
        <v>100</v>
      </c>
      <c r="E14" s="12">
        <v>10</v>
      </c>
      <c r="F14" s="13">
        <f t="shared" si="0"/>
        <v>1000</v>
      </c>
      <c r="G14" s="73"/>
      <c r="H14" s="73"/>
      <c r="I14" s="73"/>
      <c r="J14" s="73"/>
    </row>
    <row r="15" spans="1:22" x14ac:dyDescent="0.25">
      <c r="C15" s="23" t="s">
        <v>2</v>
      </c>
      <c r="D15" s="24">
        <v>1000</v>
      </c>
      <c r="E15" s="24">
        <v>3</v>
      </c>
      <c r="F15" s="25">
        <f t="shared" si="0"/>
        <v>3000</v>
      </c>
      <c r="G15" s="73"/>
      <c r="H15" s="73"/>
      <c r="I15" s="73"/>
      <c r="J15" s="73"/>
    </row>
    <row r="16" spans="1:22" x14ac:dyDescent="0.25">
      <c r="C16" s="11" t="s">
        <v>3</v>
      </c>
      <c r="D16" s="12">
        <v>2000</v>
      </c>
      <c r="E16" s="12">
        <v>10</v>
      </c>
      <c r="F16" s="13">
        <f t="shared" si="0"/>
        <v>20000</v>
      </c>
      <c r="G16" s="73"/>
      <c r="H16" s="73"/>
      <c r="I16" s="73"/>
      <c r="J16" s="73"/>
    </row>
    <row r="17" spans="3:10" x14ac:dyDescent="0.25">
      <c r="C17" s="17"/>
      <c r="D17" s="18"/>
      <c r="E17" s="18"/>
      <c r="F17" s="22"/>
      <c r="G17" s="73"/>
      <c r="H17" s="73"/>
      <c r="I17" s="73"/>
      <c r="J17" s="73"/>
    </row>
    <row r="18" spans="3:10" x14ac:dyDescent="0.25">
      <c r="C18" s="11" t="s">
        <v>19</v>
      </c>
      <c r="D18" s="12">
        <v>1</v>
      </c>
      <c r="E18" s="12">
        <v>10</v>
      </c>
      <c r="F18" s="13">
        <f>D18*E18</f>
        <v>10</v>
      </c>
      <c r="G18" s="73"/>
      <c r="H18" s="73"/>
      <c r="I18" s="73"/>
      <c r="J18" s="73"/>
    </row>
    <row r="19" spans="3:10" x14ac:dyDescent="0.25">
      <c r="C19" s="23" t="s">
        <v>25</v>
      </c>
      <c r="D19" s="24">
        <v>1</v>
      </c>
      <c r="E19" s="24">
        <v>10</v>
      </c>
      <c r="F19" s="25">
        <f>D19*E19</f>
        <v>10</v>
      </c>
      <c r="G19" s="73"/>
      <c r="H19" s="73"/>
      <c r="I19" s="73"/>
      <c r="J19" s="73"/>
    </row>
    <row r="20" spans="3:10" x14ac:dyDescent="0.25">
      <c r="C20" s="11" t="s">
        <v>26</v>
      </c>
      <c r="D20" s="12">
        <v>4</v>
      </c>
      <c r="E20" s="12">
        <v>20</v>
      </c>
      <c r="F20" s="13">
        <f>D20*E20</f>
        <v>80</v>
      </c>
      <c r="G20" s="73"/>
      <c r="H20" s="73"/>
      <c r="I20" s="73"/>
      <c r="J20" s="73"/>
    </row>
    <row r="21" spans="3:10" x14ac:dyDescent="0.25">
      <c r="C21" s="23" t="s">
        <v>20</v>
      </c>
      <c r="D21" s="24">
        <v>5</v>
      </c>
      <c r="E21" s="24">
        <v>10</v>
      </c>
      <c r="F21" s="25">
        <f>D21*E21</f>
        <v>50</v>
      </c>
    </row>
    <row r="22" spans="3:10" x14ac:dyDescent="0.25">
      <c r="C22" s="2" t="s">
        <v>27</v>
      </c>
      <c r="D22" s="5">
        <v>4</v>
      </c>
      <c r="E22" s="5">
        <v>30</v>
      </c>
      <c r="F22" s="3">
        <f>D22*E22</f>
        <v>120</v>
      </c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C7E8D-4664-473D-B5FA-1A2BE337E249}">
  <sheetPr codeName="Sheet3"/>
  <dimension ref="A1:X22"/>
  <sheetViews>
    <sheetView showGridLines="0" topLeftCell="A3" zoomScaleNormal="100" workbookViewId="0">
      <selection activeCell="G20" sqref="G7:R20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24" hidden="1" x14ac:dyDescent="0.25">
      <c r="A1" s="9"/>
      <c r="B1" s="10"/>
    </row>
    <row r="2" spans="1:24" hidden="1" x14ac:dyDescent="0.25">
      <c r="A2" s="9"/>
      <c r="B2" s="10"/>
    </row>
    <row r="3" spans="1:24" x14ac:dyDescent="0.25">
      <c r="A3" s="7"/>
      <c r="B3" s="74" t="s">
        <v>49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  <c r="W3" s="8"/>
      <c r="X3" s="8"/>
    </row>
    <row r="4" spans="1:24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  <c r="W4" s="8"/>
      <c r="X4" s="8"/>
    </row>
    <row r="6" spans="1:24" x14ac:dyDescent="0.25">
      <c r="C6" s="38" t="s">
        <v>16</v>
      </c>
      <c r="D6" s="53" t="s">
        <v>15</v>
      </c>
      <c r="E6" s="54" t="s">
        <v>17</v>
      </c>
      <c r="F6" s="37" t="s">
        <v>47</v>
      </c>
    </row>
    <row r="7" spans="1:24" x14ac:dyDescent="0.25">
      <c r="C7" s="2" t="s">
        <v>21</v>
      </c>
      <c r="D7" s="51">
        <f>Ocak!D10</f>
        <v>269630</v>
      </c>
      <c r="E7" s="52" t="s">
        <v>46</v>
      </c>
      <c r="F7" s="50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24" x14ac:dyDescent="0.25">
      <c r="C8" s="4" t="s">
        <v>22</v>
      </c>
      <c r="D8" s="6">
        <v>2000</v>
      </c>
      <c r="E8" s="45" t="s">
        <v>46</v>
      </c>
      <c r="F8" s="46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24" x14ac:dyDescent="0.25">
      <c r="C9" s="47" t="s">
        <v>23</v>
      </c>
      <c r="D9" s="48">
        <f>D12*E12+D13*E13+D14*E14+D15*E15+D16*E16+D18*E18+D19*E19+D20*E20+D21*E21+D22*E22</f>
        <v>38112</v>
      </c>
      <c r="E9" s="49" t="s">
        <v>46</v>
      </c>
      <c r="F9" s="50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24" x14ac:dyDescent="0.25">
      <c r="C10" s="4" t="s">
        <v>24</v>
      </c>
      <c r="D10" s="6">
        <f>SUM(D7-(D8+D9))</f>
        <v>229518</v>
      </c>
      <c r="E10" s="45" t="s">
        <v>46</v>
      </c>
      <c r="F10" s="46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24" x14ac:dyDescent="0.25">
      <c r="C11" s="42"/>
      <c r="D11" s="43"/>
      <c r="E11" s="43"/>
      <c r="F11" s="44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24" x14ac:dyDescent="0.25">
      <c r="C12" s="19" t="s">
        <v>18</v>
      </c>
      <c r="D12" s="20">
        <v>150</v>
      </c>
      <c r="E12" s="20">
        <v>3</v>
      </c>
      <c r="F12" s="21">
        <f t="shared" ref="F12:F22" si="0">D12*E12</f>
        <v>450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24" x14ac:dyDescent="0.25">
      <c r="C13" s="14" t="s">
        <v>0</v>
      </c>
      <c r="D13" s="15">
        <v>250</v>
      </c>
      <c r="E13" s="15">
        <v>4</v>
      </c>
      <c r="F13" s="16">
        <f t="shared" si="0"/>
        <v>1000</v>
      </c>
      <c r="G13" s="73"/>
      <c r="H13" s="73">
        <f>D8+D9</f>
        <v>40112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24" x14ac:dyDescent="0.25">
      <c r="C14" s="11" t="s">
        <v>48</v>
      </c>
      <c r="D14" s="12">
        <v>100</v>
      </c>
      <c r="E14" s="12">
        <v>5</v>
      </c>
      <c r="F14" s="13">
        <f t="shared" si="0"/>
        <v>500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24" x14ac:dyDescent="0.25">
      <c r="C15" s="14" t="s">
        <v>2</v>
      </c>
      <c r="D15" s="15">
        <v>1000</v>
      </c>
      <c r="E15" s="15">
        <v>6</v>
      </c>
      <c r="F15" s="16">
        <f t="shared" si="0"/>
        <v>6000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24" x14ac:dyDescent="0.25">
      <c r="C16" s="2" t="s">
        <v>3</v>
      </c>
      <c r="D16" s="5">
        <v>2000</v>
      </c>
      <c r="E16" s="5">
        <v>15</v>
      </c>
      <c r="F16" s="3">
        <f t="shared" si="0"/>
        <v>30000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69</v>
      </c>
      <c r="F18" s="13">
        <f t="shared" si="0"/>
        <v>69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14" t="s">
        <v>25</v>
      </c>
      <c r="D19" s="15">
        <v>1</v>
      </c>
      <c r="E19" s="15">
        <v>31</v>
      </c>
      <c r="F19" s="16">
        <f t="shared" si="0"/>
        <v>31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3</v>
      </c>
      <c r="F20" s="13">
        <f t="shared" si="0"/>
        <v>12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14" t="s">
        <v>20</v>
      </c>
      <c r="D21" s="15">
        <v>5</v>
      </c>
      <c r="E21" s="15">
        <v>2</v>
      </c>
      <c r="F21" s="16">
        <f t="shared" si="0"/>
        <v>10</v>
      </c>
    </row>
    <row r="22" spans="3:18" x14ac:dyDescent="0.25">
      <c r="C22" s="2" t="s">
        <v>27</v>
      </c>
      <c r="D22" s="5">
        <v>4</v>
      </c>
      <c r="E22" s="5">
        <v>10</v>
      </c>
      <c r="F22" s="3">
        <f t="shared" si="0"/>
        <v>40</v>
      </c>
    </row>
  </sheetData>
  <mergeCells count="1">
    <mergeCell ref="B3:Q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A88C2-9F5F-4909-9EAF-6A5622A1524C}">
  <sheetPr codeName="Sheet4"/>
  <dimension ref="A1:Z22"/>
  <sheetViews>
    <sheetView showGridLines="0" topLeftCell="A3" zoomScaleNormal="100" workbookViewId="0">
      <selection activeCell="G20" sqref="G8:R20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26" hidden="1" x14ac:dyDescent="0.25">
      <c r="A1" s="9"/>
      <c r="B1" s="10"/>
    </row>
    <row r="2" spans="1:26" hidden="1" x14ac:dyDescent="0.25">
      <c r="A2" s="9"/>
      <c r="B2" s="10"/>
    </row>
    <row r="3" spans="1:26" x14ac:dyDescent="0.25">
      <c r="A3" s="7"/>
      <c r="B3" s="74" t="s">
        <v>13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  <c r="W3" s="8"/>
      <c r="X3" s="8"/>
      <c r="Y3" s="8"/>
      <c r="Z3" s="8"/>
    </row>
    <row r="4" spans="1:26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  <c r="W4" s="8"/>
      <c r="X4" s="8"/>
      <c r="Y4" s="8"/>
      <c r="Z4" s="8"/>
    </row>
    <row r="6" spans="1:26" x14ac:dyDescent="0.25">
      <c r="C6" s="38" t="s">
        <v>16</v>
      </c>
      <c r="D6" s="40" t="s">
        <v>15</v>
      </c>
      <c r="E6" s="40" t="s">
        <v>17</v>
      </c>
      <c r="F6" s="39" t="s">
        <v>47</v>
      </c>
    </row>
    <row r="7" spans="1:26" x14ac:dyDescent="0.25">
      <c r="C7" s="11" t="s">
        <v>21</v>
      </c>
      <c r="D7" s="12">
        <f>Şubat!D10</f>
        <v>229518</v>
      </c>
      <c r="E7" s="55" t="s">
        <v>46</v>
      </c>
      <c r="F7" s="58" t="s">
        <v>46</v>
      </c>
    </row>
    <row r="8" spans="1:26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26" x14ac:dyDescent="0.25">
      <c r="C9" s="47" t="s">
        <v>23</v>
      </c>
      <c r="D9" s="48">
        <f>D12*E12+D13*E13+D14*E14+D15*E15+D16*E16+D18*E18+D19*E19+D20*E20+D21*E21+D22*E22</f>
        <v>25219</v>
      </c>
      <c r="E9" s="55" t="s">
        <v>46</v>
      </c>
      <c r="F9" s="58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26" x14ac:dyDescent="0.25">
      <c r="C10" s="41" t="s">
        <v>24</v>
      </c>
      <c r="D10">
        <f>SUM(D7-(D8+D9))</f>
        <v>202299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26" x14ac:dyDescent="0.25">
      <c r="C11" s="17"/>
      <c r="D11" s="18"/>
      <c r="E11" s="18"/>
      <c r="F11" s="2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26" x14ac:dyDescent="0.25">
      <c r="C12" s="11" t="s">
        <v>18</v>
      </c>
      <c r="D12" s="12">
        <v>200</v>
      </c>
      <c r="E12" s="12">
        <v>7</v>
      </c>
      <c r="F12" s="13">
        <f t="shared" ref="F12:F16" si="0">D12*E12</f>
        <v>1400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26" x14ac:dyDescent="0.25">
      <c r="C13" s="26" t="s">
        <v>0</v>
      </c>
      <c r="D13" s="27">
        <v>250</v>
      </c>
      <c r="E13" s="27">
        <v>6</v>
      </c>
      <c r="F13" s="28">
        <f t="shared" si="0"/>
        <v>1500</v>
      </c>
      <c r="G13" s="73"/>
      <c r="H13" s="73">
        <f>D8+D9</f>
        <v>27219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26" x14ac:dyDescent="0.25">
      <c r="C14" s="11" t="s">
        <v>1</v>
      </c>
      <c r="D14" s="12">
        <v>10</v>
      </c>
      <c r="E14" s="12">
        <v>5</v>
      </c>
      <c r="F14" s="13">
        <f t="shared" si="0"/>
        <v>50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26" x14ac:dyDescent="0.25">
      <c r="C15" s="26" t="s">
        <v>2</v>
      </c>
      <c r="D15" s="27">
        <v>788</v>
      </c>
      <c r="E15" s="27">
        <v>20</v>
      </c>
      <c r="F15" s="28">
        <f t="shared" si="0"/>
        <v>15760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26" x14ac:dyDescent="0.25">
      <c r="C16" s="11" t="s">
        <v>3</v>
      </c>
      <c r="D16" s="12">
        <v>2000</v>
      </c>
      <c r="E16" s="12">
        <v>3</v>
      </c>
      <c r="F16" s="13">
        <f t="shared" si="0"/>
        <v>6000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20</v>
      </c>
      <c r="F18" s="13">
        <f t="shared" ref="F18:F22" si="1">D18*E18</f>
        <v>20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26" t="s">
        <v>25</v>
      </c>
      <c r="D19" s="27">
        <v>1</v>
      </c>
      <c r="E19" s="27">
        <v>9</v>
      </c>
      <c r="F19" s="28">
        <f t="shared" si="1"/>
        <v>9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50</v>
      </c>
      <c r="F20" s="13">
        <f t="shared" si="1"/>
        <v>200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26" t="s">
        <v>20</v>
      </c>
      <c r="D21" s="27">
        <v>5</v>
      </c>
      <c r="E21" s="27">
        <v>40</v>
      </c>
      <c r="F21" s="28">
        <f t="shared" si="1"/>
        <v>200</v>
      </c>
    </row>
    <row r="22" spans="3:18" x14ac:dyDescent="0.25">
      <c r="C22" s="2" t="s">
        <v>27</v>
      </c>
      <c r="D22" s="5">
        <v>4</v>
      </c>
      <c r="E22" s="5">
        <v>20</v>
      </c>
      <c r="F22" s="3">
        <f t="shared" si="1"/>
        <v>80</v>
      </c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10639-306C-41D2-ACFD-93BCA5117F8C}">
  <sheetPr codeName="Sheet5"/>
  <dimension ref="A1:AD22"/>
  <sheetViews>
    <sheetView showGridLines="0" topLeftCell="A3" zoomScaleNormal="100" workbookViewId="0">
      <selection activeCell="G22" sqref="G7:R22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30" hidden="1" x14ac:dyDescent="0.25">
      <c r="A1" s="9"/>
      <c r="B1" s="10"/>
    </row>
    <row r="2" spans="1:30" hidden="1" x14ac:dyDescent="0.25">
      <c r="A2" s="9"/>
      <c r="B2" s="10"/>
    </row>
    <row r="3" spans="1:30" x14ac:dyDescent="0.25">
      <c r="A3" s="7"/>
      <c r="B3" s="74" t="s">
        <v>12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6" spans="1:30" x14ac:dyDescent="0.25">
      <c r="C6" s="38" t="s">
        <v>16</v>
      </c>
      <c r="D6" s="40" t="s">
        <v>15</v>
      </c>
      <c r="E6" s="40" t="s">
        <v>17</v>
      </c>
      <c r="F6" s="39" t="s">
        <v>47</v>
      </c>
    </row>
    <row r="7" spans="1:30" x14ac:dyDescent="0.25">
      <c r="C7" s="11" t="s">
        <v>21</v>
      </c>
      <c r="D7" s="12">
        <f>Mart!D10</f>
        <v>202299</v>
      </c>
      <c r="E7" s="55" t="s">
        <v>46</v>
      </c>
      <c r="F7" s="58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30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30" x14ac:dyDescent="0.25">
      <c r="C9" s="29" t="s">
        <v>23</v>
      </c>
      <c r="D9" s="30">
        <f>D12*E12+D13*E13+D14*E14+D15*E15+D16*E16+D18*E18+D19*E19+D20*E20+D21*E21+D22*E22</f>
        <v>17334</v>
      </c>
      <c r="E9" s="31" t="s">
        <v>46</v>
      </c>
      <c r="F9" s="32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30" x14ac:dyDescent="0.25">
      <c r="C10" s="14" t="s">
        <v>24</v>
      </c>
      <c r="D10" s="15">
        <f>SUM(D7-(D8+D9))</f>
        <v>182965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30" x14ac:dyDescent="0.25">
      <c r="B11" s="10"/>
      <c r="C11" s="17"/>
      <c r="D11" s="18"/>
      <c r="E11" s="18"/>
      <c r="F11" s="2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30" x14ac:dyDescent="0.25">
      <c r="C12" s="11" t="s">
        <v>18</v>
      </c>
      <c r="D12" s="12">
        <v>100</v>
      </c>
      <c r="E12" s="12">
        <v>1</v>
      </c>
      <c r="F12" s="13">
        <f t="shared" ref="F12:F16" si="0">D12*E12</f>
        <v>100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30" x14ac:dyDescent="0.25">
      <c r="C13" s="23" t="s">
        <v>0</v>
      </c>
      <c r="D13" s="24">
        <v>250</v>
      </c>
      <c r="E13" s="24">
        <v>2</v>
      </c>
      <c r="F13" s="25">
        <f t="shared" si="0"/>
        <v>500</v>
      </c>
      <c r="G13" s="73"/>
      <c r="H13" s="73">
        <f>D8+D9</f>
        <v>19334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30" x14ac:dyDescent="0.25">
      <c r="C14" s="11" t="s">
        <v>1</v>
      </c>
      <c r="D14" s="12">
        <v>10</v>
      </c>
      <c r="E14" s="12">
        <v>3</v>
      </c>
      <c r="F14" s="13">
        <f t="shared" si="0"/>
        <v>30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30" x14ac:dyDescent="0.25">
      <c r="C15" s="23" t="s">
        <v>2</v>
      </c>
      <c r="D15" s="24">
        <v>1000</v>
      </c>
      <c r="E15" s="24">
        <v>4</v>
      </c>
      <c r="F15" s="25">
        <f t="shared" si="0"/>
        <v>4000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30" x14ac:dyDescent="0.25">
      <c r="C16" s="11" t="s">
        <v>3</v>
      </c>
      <c r="D16" s="12">
        <v>2333</v>
      </c>
      <c r="E16" s="12">
        <v>5</v>
      </c>
      <c r="F16" s="13">
        <f t="shared" si="0"/>
        <v>11665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900</v>
      </c>
      <c r="F18" s="13">
        <f t="shared" ref="F18:F22" si="1">D18*E18</f>
        <v>900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23" t="s">
        <v>25</v>
      </c>
      <c r="D19" s="24">
        <v>1</v>
      </c>
      <c r="E19" s="24">
        <v>3</v>
      </c>
      <c r="F19" s="25">
        <f t="shared" si="1"/>
        <v>3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4</v>
      </c>
      <c r="F20" s="13">
        <f t="shared" si="1"/>
        <v>16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23" t="s">
        <v>20</v>
      </c>
      <c r="D21" s="24">
        <v>5</v>
      </c>
      <c r="E21" s="24">
        <v>20</v>
      </c>
      <c r="F21" s="25">
        <f t="shared" si="1"/>
        <v>100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</row>
    <row r="22" spans="3:18" x14ac:dyDescent="0.25">
      <c r="C22" s="2" t="s">
        <v>27</v>
      </c>
      <c r="D22" s="5">
        <v>4</v>
      </c>
      <c r="E22" s="5">
        <v>5</v>
      </c>
      <c r="F22" s="3">
        <f t="shared" si="1"/>
        <v>20</v>
      </c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32678-6570-4B5D-B29A-5363F4FCBCE1}">
  <sheetPr codeName="Sheet6"/>
  <dimension ref="A1:V22"/>
  <sheetViews>
    <sheetView showGridLines="0" topLeftCell="A3" zoomScaleNormal="100" workbookViewId="0">
      <selection activeCell="G22" sqref="G6:R22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22" hidden="1" x14ac:dyDescent="0.25">
      <c r="A1" s="9"/>
      <c r="B1" s="10"/>
    </row>
    <row r="2" spans="1:22" hidden="1" x14ac:dyDescent="0.25">
      <c r="A2" s="9"/>
      <c r="B2" s="10"/>
    </row>
    <row r="3" spans="1:22" x14ac:dyDescent="0.25">
      <c r="A3" s="7"/>
      <c r="B3" s="74" t="s">
        <v>11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</row>
    <row r="4" spans="1:22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</row>
    <row r="6" spans="1:22" x14ac:dyDescent="0.25">
      <c r="C6" s="38" t="s">
        <v>16</v>
      </c>
      <c r="D6" s="40" t="s">
        <v>15</v>
      </c>
      <c r="E6" s="40" t="s">
        <v>17</v>
      </c>
      <c r="F6" s="39" t="s">
        <v>47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22" x14ac:dyDescent="0.25">
      <c r="C7" s="11" t="s">
        <v>21</v>
      </c>
      <c r="D7" s="12">
        <f>Nisan!D10</f>
        <v>182965</v>
      </c>
      <c r="E7" s="55" t="s">
        <v>46</v>
      </c>
      <c r="F7" s="58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22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22" x14ac:dyDescent="0.25">
      <c r="C9" s="29" t="s">
        <v>23</v>
      </c>
      <c r="D9" s="30">
        <f>D12*E12+D13*E13+D14*E14+D15*E15+D16*E16+D18*E18+D19*E19+D20*E20+D21*E21+D22*E22</f>
        <v>69040</v>
      </c>
      <c r="E9" s="55" t="s">
        <v>46</v>
      </c>
      <c r="F9" s="58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22" x14ac:dyDescent="0.25">
      <c r="C10" s="14" t="s">
        <v>24</v>
      </c>
      <c r="D10" s="15">
        <f>SUM(D7-(D8+D9))</f>
        <v>111925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22" x14ac:dyDescent="0.25">
      <c r="C11" s="17"/>
      <c r="D11" s="18"/>
      <c r="E11" s="18"/>
      <c r="F11" s="2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22" x14ac:dyDescent="0.25">
      <c r="C12" s="11" t="s">
        <v>18</v>
      </c>
      <c r="D12" s="12">
        <v>150</v>
      </c>
      <c r="E12" s="12">
        <v>10</v>
      </c>
      <c r="F12" s="13">
        <f t="shared" ref="F12:F16" si="0">D12*E12</f>
        <v>1500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22" x14ac:dyDescent="0.25">
      <c r="C13" s="23" t="s">
        <v>0</v>
      </c>
      <c r="D13" s="24">
        <v>250</v>
      </c>
      <c r="E13" s="24">
        <v>10</v>
      </c>
      <c r="F13" s="25">
        <f t="shared" si="0"/>
        <v>2500</v>
      </c>
      <c r="G13" s="73"/>
      <c r="H13" s="73">
        <f>D8+D9</f>
        <v>71040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22" x14ac:dyDescent="0.25">
      <c r="C14" s="11" t="s">
        <v>1</v>
      </c>
      <c r="D14" s="12">
        <v>10</v>
      </c>
      <c r="E14" s="12">
        <v>24</v>
      </c>
      <c r="F14" s="13">
        <f t="shared" si="0"/>
        <v>240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22" x14ac:dyDescent="0.25">
      <c r="C15" s="23" t="s">
        <v>2</v>
      </c>
      <c r="D15" s="24">
        <v>985</v>
      </c>
      <c r="E15" s="24">
        <v>14</v>
      </c>
      <c r="F15" s="25">
        <f t="shared" si="0"/>
        <v>13790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22" x14ac:dyDescent="0.25">
      <c r="C16" s="11" t="s">
        <v>3</v>
      </c>
      <c r="D16" s="12">
        <v>2000</v>
      </c>
      <c r="E16" s="12">
        <v>10</v>
      </c>
      <c r="F16" s="13">
        <f t="shared" si="0"/>
        <v>20000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10</v>
      </c>
      <c r="F18" s="13">
        <f t="shared" ref="F18:F22" si="1">D18*E18</f>
        <v>10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23" t="s">
        <v>25</v>
      </c>
      <c r="D19" s="24">
        <v>1</v>
      </c>
      <c r="E19" s="24">
        <v>5000</v>
      </c>
      <c r="F19" s="25">
        <f t="shared" si="1"/>
        <v>5000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3000</v>
      </c>
      <c r="F20" s="13">
        <f t="shared" si="1"/>
        <v>12000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23" t="s">
        <v>20</v>
      </c>
      <c r="D21" s="24">
        <v>5</v>
      </c>
      <c r="E21" s="24">
        <v>2000</v>
      </c>
      <c r="F21" s="25">
        <f t="shared" si="1"/>
        <v>10000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</row>
    <row r="22" spans="3:18" x14ac:dyDescent="0.25">
      <c r="C22" s="2" t="s">
        <v>27</v>
      </c>
      <c r="D22" s="5">
        <v>4</v>
      </c>
      <c r="E22" s="5">
        <v>1000</v>
      </c>
      <c r="F22" s="3">
        <f t="shared" si="1"/>
        <v>4000</v>
      </c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1068-B1DA-4117-BDBE-AAD98A290284}">
  <sheetPr codeName="Sheet7"/>
  <dimension ref="A1:Z22"/>
  <sheetViews>
    <sheetView showGridLines="0" topLeftCell="A3" zoomScaleNormal="100" workbookViewId="0">
      <selection activeCell="G22" sqref="G6:R22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26" hidden="1" x14ac:dyDescent="0.25">
      <c r="A1" s="9"/>
      <c r="B1" s="10"/>
    </row>
    <row r="2" spans="1:26" hidden="1" x14ac:dyDescent="0.25">
      <c r="A2" s="9"/>
      <c r="B2" s="10"/>
    </row>
    <row r="3" spans="1:26" x14ac:dyDescent="0.25">
      <c r="A3" s="7"/>
      <c r="B3" s="74" t="s">
        <v>10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  <c r="W3" s="8"/>
      <c r="X3" s="8"/>
      <c r="Y3" s="8"/>
      <c r="Z3" s="8"/>
    </row>
    <row r="4" spans="1:26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  <c r="W4" s="8"/>
      <c r="X4" s="8"/>
      <c r="Y4" s="8"/>
      <c r="Z4" s="8"/>
    </row>
    <row r="6" spans="1:26" x14ac:dyDescent="0.25">
      <c r="C6" s="38" t="s">
        <v>16</v>
      </c>
      <c r="D6" s="40" t="s">
        <v>15</v>
      </c>
      <c r="E6" s="40" t="s">
        <v>17</v>
      </c>
      <c r="F6" s="39" t="s">
        <v>47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26" x14ac:dyDescent="0.25">
      <c r="C7" s="11" t="s">
        <v>21</v>
      </c>
      <c r="D7" s="12">
        <f>Mayıs!D10</f>
        <v>111925</v>
      </c>
      <c r="E7" s="55" t="s">
        <v>46</v>
      </c>
      <c r="F7" s="58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26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26" x14ac:dyDescent="0.25">
      <c r="C9" s="29" t="s">
        <v>23</v>
      </c>
      <c r="D9" s="30">
        <f>D12*E12+D13*E13+D14*E14+D15*E15+D16*E16+D18*E18+D19*E19+D20*E20+D21*E21+D22*E22</f>
        <v>14710</v>
      </c>
      <c r="E9" s="55" t="s">
        <v>46</v>
      </c>
      <c r="F9" s="58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26" x14ac:dyDescent="0.25">
      <c r="C10" s="14" t="s">
        <v>24</v>
      </c>
      <c r="D10" s="15">
        <f>SUM(D7-(D8+D9))</f>
        <v>95215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26" x14ac:dyDescent="0.25">
      <c r="C11" s="59"/>
      <c r="D11" s="60"/>
      <c r="E11" s="61"/>
      <c r="F11" s="6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26" x14ac:dyDescent="0.25">
      <c r="C12" s="11" t="s">
        <v>18</v>
      </c>
      <c r="D12" s="12">
        <v>50</v>
      </c>
      <c r="E12" s="12">
        <v>1</v>
      </c>
      <c r="F12" s="13">
        <f t="shared" ref="F12:F16" si="0">D12*E12</f>
        <v>50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26" x14ac:dyDescent="0.25">
      <c r="C13" s="23" t="s">
        <v>0</v>
      </c>
      <c r="D13" s="24">
        <v>250</v>
      </c>
      <c r="E13" s="24">
        <v>2</v>
      </c>
      <c r="F13" s="25">
        <f t="shared" si="0"/>
        <v>500</v>
      </c>
      <c r="G13" s="73"/>
      <c r="H13" s="73">
        <f>D8+D9</f>
        <v>16710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26" x14ac:dyDescent="0.25">
      <c r="C14" s="11" t="s">
        <v>1</v>
      </c>
      <c r="D14" s="12">
        <v>10</v>
      </c>
      <c r="E14" s="12">
        <v>3</v>
      </c>
      <c r="F14" s="13">
        <f t="shared" si="0"/>
        <v>30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26" x14ac:dyDescent="0.25">
      <c r="C15" s="23" t="s">
        <v>2</v>
      </c>
      <c r="D15" s="24">
        <v>1000</v>
      </c>
      <c r="E15" s="24">
        <v>4</v>
      </c>
      <c r="F15" s="25">
        <f t="shared" si="0"/>
        <v>4000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26" x14ac:dyDescent="0.25">
      <c r="C16" s="11" t="s">
        <v>3</v>
      </c>
      <c r="D16" s="12">
        <v>2000</v>
      </c>
      <c r="E16" s="12">
        <v>5</v>
      </c>
      <c r="F16" s="13">
        <f t="shared" si="0"/>
        <v>10000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6</v>
      </c>
      <c r="F18" s="13">
        <f>D18*E18</f>
        <v>6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23" t="s">
        <v>25</v>
      </c>
      <c r="D19" s="24">
        <v>1</v>
      </c>
      <c r="E19" s="24">
        <v>7</v>
      </c>
      <c r="F19" s="25">
        <f>D19*E19</f>
        <v>7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8</v>
      </c>
      <c r="F20" s="13">
        <f>D20*E20</f>
        <v>32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23" t="s">
        <v>20</v>
      </c>
      <c r="D21" s="24">
        <v>5</v>
      </c>
      <c r="E21" s="24">
        <v>9</v>
      </c>
      <c r="F21" s="25">
        <f>D21*E21</f>
        <v>45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</row>
    <row r="22" spans="3:18" x14ac:dyDescent="0.25">
      <c r="C22" s="2" t="s">
        <v>27</v>
      </c>
      <c r="D22" s="5">
        <v>4</v>
      </c>
      <c r="E22" s="5">
        <v>10</v>
      </c>
      <c r="F22" s="3">
        <f>D22*E22</f>
        <v>40</v>
      </c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8B492-6E84-4F13-957B-BAB7ABC103BF}">
  <sheetPr codeName="Sheet8"/>
  <dimension ref="A1:AD22"/>
  <sheetViews>
    <sheetView showGridLines="0" topLeftCell="A3" zoomScaleNormal="100" workbookViewId="0">
      <selection activeCell="G22" sqref="G6:R22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30" hidden="1" x14ac:dyDescent="0.25">
      <c r="A1" s="9"/>
      <c r="B1" s="10"/>
    </row>
    <row r="2" spans="1:30" hidden="1" x14ac:dyDescent="0.25">
      <c r="A2" s="9"/>
      <c r="B2" s="10"/>
    </row>
    <row r="3" spans="1:30" x14ac:dyDescent="0.25">
      <c r="A3" s="7"/>
      <c r="B3" s="74" t="s">
        <v>9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6" spans="1:30" x14ac:dyDescent="0.25">
      <c r="C6" s="38" t="s">
        <v>16</v>
      </c>
      <c r="D6" s="40" t="s">
        <v>15</v>
      </c>
      <c r="E6" s="40" t="s">
        <v>17</v>
      </c>
      <c r="F6" s="39" t="s">
        <v>47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30" x14ac:dyDescent="0.25">
      <c r="C7" s="11" t="s">
        <v>21</v>
      </c>
      <c r="D7" s="12">
        <f>Haziran!D10</f>
        <v>95215</v>
      </c>
      <c r="E7" s="55" t="s">
        <v>46</v>
      </c>
      <c r="F7" s="58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30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30" x14ac:dyDescent="0.25">
      <c r="C9" s="47" t="s">
        <v>23</v>
      </c>
      <c r="D9" s="48">
        <f>D12*E12+D13*E13+D14*E14+D15*E15+D16*E16+D18*E18+D19*E19+D20*E20+D21*E21+D22*E22</f>
        <v>15605</v>
      </c>
      <c r="E9" s="55" t="s">
        <v>46</v>
      </c>
      <c r="F9" s="58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30" x14ac:dyDescent="0.25">
      <c r="C10" s="41" t="s">
        <v>24</v>
      </c>
      <c r="D10">
        <f>SUM(D7-(D8+D9))</f>
        <v>77610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30" x14ac:dyDescent="0.25">
      <c r="C11" s="17"/>
      <c r="D11" s="18"/>
      <c r="E11" s="18"/>
      <c r="F11" s="2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30" x14ac:dyDescent="0.25">
      <c r="C12" s="11" t="s">
        <v>18</v>
      </c>
      <c r="D12" s="12">
        <v>20</v>
      </c>
      <c r="E12" s="12">
        <v>1</v>
      </c>
      <c r="F12" s="13">
        <f t="shared" ref="F12:F16" si="0">D12*E12</f>
        <v>20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30" x14ac:dyDescent="0.25">
      <c r="C13" s="26" t="s">
        <v>0</v>
      </c>
      <c r="D13" s="27">
        <v>250</v>
      </c>
      <c r="E13" s="27">
        <v>2</v>
      </c>
      <c r="F13" s="28">
        <f t="shared" si="0"/>
        <v>500</v>
      </c>
      <c r="G13" s="73"/>
      <c r="H13" s="73">
        <f>D8+D9</f>
        <v>17605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30" x14ac:dyDescent="0.25">
      <c r="C14" s="11" t="s">
        <v>1</v>
      </c>
      <c r="D14" s="12">
        <v>10</v>
      </c>
      <c r="E14" s="12">
        <v>3</v>
      </c>
      <c r="F14" s="13">
        <f t="shared" si="0"/>
        <v>30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30" x14ac:dyDescent="0.25">
      <c r="C15" s="26" t="s">
        <v>2</v>
      </c>
      <c r="D15" s="27">
        <v>1000</v>
      </c>
      <c r="E15" s="27">
        <v>5</v>
      </c>
      <c r="F15" s="28">
        <f t="shared" si="0"/>
        <v>5000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30" x14ac:dyDescent="0.25">
      <c r="C16" s="11" t="s">
        <v>3</v>
      </c>
      <c r="D16" s="12">
        <v>2000</v>
      </c>
      <c r="E16" s="12">
        <v>5</v>
      </c>
      <c r="F16" s="13">
        <f t="shared" si="0"/>
        <v>10000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1</v>
      </c>
      <c r="F18" s="13">
        <f t="shared" ref="F18:F22" si="1">D18*E18</f>
        <v>1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26" t="s">
        <v>25</v>
      </c>
      <c r="D19" s="27">
        <v>1</v>
      </c>
      <c r="E19" s="27">
        <v>2</v>
      </c>
      <c r="F19" s="28">
        <f t="shared" si="1"/>
        <v>2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3</v>
      </c>
      <c r="F20" s="13">
        <f t="shared" si="1"/>
        <v>12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26" t="s">
        <v>20</v>
      </c>
      <c r="D21" s="27">
        <v>5</v>
      </c>
      <c r="E21" s="27">
        <v>4</v>
      </c>
      <c r="F21" s="28">
        <f t="shared" si="1"/>
        <v>20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</row>
    <row r="22" spans="3:18" x14ac:dyDescent="0.25">
      <c r="C22" s="2" t="s">
        <v>27</v>
      </c>
      <c r="D22" s="5">
        <v>4</v>
      </c>
      <c r="E22" s="5">
        <v>5</v>
      </c>
      <c r="F22" s="3">
        <f t="shared" si="1"/>
        <v>20</v>
      </c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0417B-5C5A-4321-A14A-B9216D96C496}">
  <sheetPr codeName="Sheet9"/>
  <dimension ref="A1:X22"/>
  <sheetViews>
    <sheetView showGridLines="0" topLeftCell="A3" zoomScaleNormal="100" workbookViewId="0">
      <selection activeCell="G22" sqref="G6:R22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24" hidden="1" x14ac:dyDescent="0.25">
      <c r="A1" s="9"/>
      <c r="B1" s="10"/>
    </row>
    <row r="2" spans="1:24" hidden="1" x14ac:dyDescent="0.25">
      <c r="A2" s="9"/>
      <c r="B2" s="10"/>
    </row>
    <row r="3" spans="1:24" x14ac:dyDescent="0.25">
      <c r="A3" s="7"/>
      <c r="B3" s="74" t="s">
        <v>8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  <c r="W3" s="8"/>
      <c r="X3" s="8"/>
    </row>
    <row r="4" spans="1:24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  <c r="W4" s="8"/>
      <c r="X4" s="8"/>
    </row>
    <row r="6" spans="1:24" x14ac:dyDescent="0.25">
      <c r="C6" s="38" t="s">
        <v>16</v>
      </c>
      <c r="D6" s="40" t="s">
        <v>15</v>
      </c>
      <c r="E6" s="40" t="s">
        <v>17</v>
      </c>
      <c r="F6" s="39" t="s">
        <v>47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24" x14ac:dyDescent="0.25">
      <c r="C7" s="11" t="s">
        <v>21</v>
      </c>
      <c r="D7" s="12">
        <f>Temmuz!D10</f>
        <v>77610</v>
      </c>
      <c r="E7" s="55" t="s">
        <v>46</v>
      </c>
      <c r="F7" s="58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24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24" x14ac:dyDescent="0.25">
      <c r="C9" s="29" t="s">
        <v>23</v>
      </c>
      <c r="D9" s="30">
        <f>D12*E12+D13*E13+D14*E14+D15*E15+D16*E16+D18*E18+D19*E19+D20*E20+D21*E21+D22*E22</f>
        <v>14652</v>
      </c>
      <c r="E9" s="55" t="s">
        <v>46</v>
      </c>
      <c r="F9" s="58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24" x14ac:dyDescent="0.25">
      <c r="C10" s="14" t="s">
        <v>24</v>
      </c>
      <c r="D10" s="15">
        <f>SUM(D7-(D8+D9))</f>
        <v>60958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24" x14ac:dyDescent="0.25">
      <c r="C11" s="17"/>
      <c r="D11" s="18"/>
      <c r="E11" s="18"/>
      <c r="F11" s="2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24" x14ac:dyDescent="0.25">
      <c r="C12" s="11" t="s">
        <v>18</v>
      </c>
      <c r="D12" s="12">
        <v>50</v>
      </c>
      <c r="E12" s="12">
        <v>1</v>
      </c>
      <c r="F12" s="13">
        <f t="shared" ref="F12:F16" si="0">D12*E12</f>
        <v>50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24" x14ac:dyDescent="0.25">
      <c r="C13" s="26" t="s">
        <v>0</v>
      </c>
      <c r="D13" s="27">
        <v>250</v>
      </c>
      <c r="E13" s="27">
        <v>2</v>
      </c>
      <c r="F13" s="28">
        <f t="shared" si="0"/>
        <v>500</v>
      </c>
      <c r="G13" s="73"/>
      <c r="H13" s="73">
        <f>D8+D9</f>
        <v>16652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24" x14ac:dyDescent="0.25">
      <c r="C14" s="11" t="s">
        <v>1</v>
      </c>
      <c r="D14" s="12">
        <v>12</v>
      </c>
      <c r="E14" s="12">
        <v>3</v>
      </c>
      <c r="F14" s="13">
        <f t="shared" si="0"/>
        <v>36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24" x14ac:dyDescent="0.25">
      <c r="C15" s="26" t="s">
        <v>2</v>
      </c>
      <c r="D15" s="27">
        <v>1000</v>
      </c>
      <c r="E15" s="27">
        <v>4</v>
      </c>
      <c r="F15" s="28">
        <f t="shared" si="0"/>
        <v>4000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24" x14ac:dyDescent="0.25">
      <c r="C16" s="11" t="s">
        <v>3</v>
      </c>
      <c r="D16" s="12">
        <v>2000</v>
      </c>
      <c r="E16" s="12">
        <v>5</v>
      </c>
      <c r="F16" s="13">
        <f t="shared" si="0"/>
        <v>10000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12</v>
      </c>
      <c r="F18" s="13">
        <f t="shared" ref="F18:F22" si="1">D18*E18</f>
        <v>12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26" t="s">
        <v>25</v>
      </c>
      <c r="D19" s="27">
        <v>1</v>
      </c>
      <c r="E19" s="27">
        <v>2</v>
      </c>
      <c r="F19" s="28">
        <f t="shared" si="1"/>
        <v>2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3</v>
      </c>
      <c r="F20" s="13">
        <f t="shared" si="1"/>
        <v>12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26" t="s">
        <v>20</v>
      </c>
      <c r="D21" s="27">
        <v>5</v>
      </c>
      <c r="E21" s="27">
        <v>4</v>
      </c>
      <c r="F21" s="28">
        <f t="shared" si="1"/>
        <v>20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</row>
    <row r="22" spans="3:18" x14ac:dyDescent="0.25">
      <c r="C22" s="2" t="s">
        <v>27</v>
      </c>
      <c r="D22" s="5">
        <v>4</v>
      </c>
      <c r="E22" s="5">
        <v>5</v>
      </c>
      <c r="F22" s="3">
        <f t="shared" si="1"/>
        <v>20</v>
      </c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A4CF1-6FF6-48E3-B71E-575EBD8D176C}">
  <sheetPr codeName="Sheet10"/>
  <dimension ref="A1:AA22"/>
  <sheetViews>
    <sheetView showGridLines="0" topLeftCell="A3" zoomScaleNormal="100" workbookViewId="0">
      <selection activeCell="G22" sqref="G6:R22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27" hidden="1" x14ac:dyDescent="0.25">
      <c r="A1" s="9"/>
      <c r="B1" s="10"/>
    </row>
    <row r="2" spans="1:27" hidden="1" x14ac:dyDescent="0.25">
      <c r="A2" s="9"/>
      <c r="B2" s="10"/>
    </row>
    <row r="3" spans="1:27" x14ac:dyDescent="0.25">
      <c r="A3" s="7"/>
      <c r="B3" s="74" t="s">
        <v>28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  <c r="W3" s="8"/>
      <c r="X3" s="8"/>
      <c r="Y3" s="8"/>
      <c r="Z3" s="8"/>
      <c r="AA3" s="8"/>
    </row>
    <row r="4" spans="1:27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  <c r="W4" s="8"/>
      <c r="X4" s="8"/>
      <c r="Y4" s="8"/>
      <c r="Z4" s="8"/>
      <c r="AA4" s="8"/>
    </row>
    <row r="6" spans="1:27" x14ac:dyDescent="0.25">
      <c r="C6" s="38" t="s">
        <v>16</v>
      </c>
      <c r="D6" s="40" t="s">
        <v>15</v>
      </c>
      <c r="E6" s="40" t="s">
        <v>17</v>
      </c>
      <c r="F6" s="39" t="s">
        <v>47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27" x14ac:dyDescent="0.25">
      <c r="C7" s="11" t="s">
        <v>21</v>
      </c>
      <c r="D7" s="12">
        <f>Ağustos!D10</f>
        <v>60958</v>
      </c>
      <c r="E7" s="55" t="s">
        <v>46</v>
      </c>
      <c r="F7" s="58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27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27" x14ac:dyDescent="0.25">
      <c r="C9" s="29" t="s">
        <v>23</v>
      </c>
      <c r="D9" s="30">
        <f>D12*E12+D13*E13+D14*E14+D15*E15+D16*E16+D18*E18+D19*E19+D20*E20+D21*E21+D22*E22</f>
        <v>13762</v>
      </c>
      <c r="E9" s="55" t="s">
        <v>46</v>
      </c>
      <c r="F9" s="58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27" x14ac:dyDescent="0.25">
      <c r="C10" s="14" t="s">
        <v>24</v>
      </c>
      <c r="D10" s="15">
        <f>SUM(D7-(D8+D9))</f>
        <v>45196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27" x14ac:dyDescent="0.25">
      <c r="C11" s="17"/>
      <c r="D11" s="18"/>
      <c r="E11" s="18"/>
      <c r="F11" s="2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27" x14ac:dyDescent="0.25">
      <c r="C12" s="11" t="s">
        <v>18</v>
      </c>
      <c r="D12" s="12">
        <v>150</v>
      </c>
      <c r="E12" s="12">
        <v>1</v>
      </c>
      <c r="F12" s="13">
        <f t="shared" ref="F12:F16" si="0">D12*E12</f>
        <v>150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27" x14ac:dyDescent="0.25">
      <c r="C13" s="23" t="s">
        <v>0</v>
      </c>
      <c r="D13" s="24">
        <v>258</v>
      </c>
      <c r="E13" s="24">
        <v>2</v>
      </c>
      <c r="F13" s="25">
        <f t="shared" si="0"/>
        <v>516</v>
      </c>
      <c r="G13" s="73"/>
      <c r="H13" s="73">
        <f>D8+D9</f>
        <v>15762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27" x14ac:dyDescent="0.25">
      <c r="C14" s="11" t="s">
        <v>1</v>
      </c>
      <c r="D14" s="12">
        <v>10</v>
      </c>
      <c r="E14" s="12">
        <v>4</v>
      </c>
      <c r="F14" s="13">
        <f t="shared" si="0"/>
        <v>40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27" x14ac:dyDescent="0.25">
      <c r="C15" s="23" t="s">
        <v>2</v>
      </c>
      <c r="D15" s="24">
        <v>1000</v>
      </c>
      <c r="E15" s="24">
        <v>3</v>
      </c>
      <c r="F15" s="25">
        <f t="shared" si="0"/>
        <v>3000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27" x14ac:dyDescent="0.25">
      <c r="C16" s="11" t="s">
        <v>3</v>
      </c>
      <c r="D16" s="12">
        <v>2000</v>
      </c>
      <c r="E16" s="12">
        <v>5</v>
      </c>
      <c r="F16" s="13">
        <f t="shared" si="0"/>
        <v>10000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1</v>
      </c>
      <c r="F18" s="13">
        <f t="shared" ref="F18:F22" si="1">D18*E18</f>
        <v>1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23" t="s">
        <v>25</v>
      </c>
      <c r="D19" s="24">
        <v>1</v>
      </c>
      <c r="E19" s="24">
        <v>2</v>
      </c>
      <c r="F19" s="25">
        <f t="shared" si="1"/>
        <v>2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3</v>
      </c>
      <c r="F20" s="13">
        <f t="shared" si="1"/>
        <v>12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23" t="s">
        <v>20</v>
      </c>
      <c r="D21" s="24">
        <v>5</v>
      </c>
      <c r="E21" s="24">
        <v>5</v>
      </c>
      <c r="F21" s="25">
        <f t="shared" si="1"/>
        <v>25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</row>
    <row r="22" spans="3:18" x14ac:dyDescent="0.25">
      <c r="C22" s="2" t="s">
        <v>27</v>
      </c>
      <c r="D22" s="5">
        <v>4</v>
      </c>
      <c r="E22" s="5">
        <v>4</v>
      </c>
      <c r="F22" s="3">
        <f t="shared" si="1"/>
        <v>16</v>
      </c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5CE9F-455B-4397-851C-E77501AEB897}">
  <sheetPr codeName="Sheet11"/>
  <dimension ref="A1:Z22"/>
  <sheetViews>
    <sheetView showGridLines="0" topLeftCell="A3" zoomScaleNormal="100" workbookViewId="0">
      <selection activeCell="G22" sqref="G6:R22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26" hidden="1" x14ac:dyDescent="0.25">
      <c r="A1" s="9"/>
      <c r="B1" s="10"/>
    </row>
    <row r="2" spans="1:26" hidden="1" x14ac:dyDescent="0.25">
      <c r="A2" s="9"/>
      <c r="B2" s="10"/>
    </row>
    <row r="3" spans="1:26" x14ac:dyDescent="0.25">
      <c r="A3" s="7"/>
      <c r="B3" s="74" t="s">
        <v>7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  <c r="T3" s="8"/>
      <c r="U3" s="8"/>
      <c r="V3" s="8"/>
      <c r="W3" s="8"/>
      <c r="X3" s="8"/>
      <c r="Y3" s="8"/>
      <c r="Z3" s="8"/>
    </row>
    <row r="4" spans="1:26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  <c r="T4" s="8"/>
      <c r="U4" s="8"/>
      <c r="V4" s="8"/>
      <c r="W4" s="8"/>
      <c r="X4" s="8"/>
      <c r="Y4" s="8"/>
      <c r="Z4" s="8"/>
    </row>
    <row r="6" spans="1:26" x14ac:dyDescent="0.25">
      <c r="C6" s="38" t="s">
        <v>16</v>
      </c>
      <c r="D6" s="40" t="s">
        <v>15</v>
      </c>
      <c r="E6" s="40" t="s">
        <v>17</v>
      </c>
      <c r="F6" s="39" t="s">
        <v>47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26" x14ac:dyDescent="0.25">
      <c r="C7" s="11" t="s">
        <v>21</v>
      </c>
      <c r="D7" s="12">
        <f>Eylül!D10</f>
        <v>45196</v>
      </c>
      <c r="E7" s="55" t="s">
        <v>46</v>
      </c>
      <c r="F7" s="58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26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26" x14ac:dyDescent="0.25">
      <c r="C9" s="29" t="s">
        <v>23</v>
      </c>
      <c r="D9" s="30">
        <f>D12*E12+D13*E13+D14*E14+D15*E15+D16*E16+D18*E18+D19*E19+D20*E20+D21*E21+D22*E22</f>
        <v>14326</v>
      </c>
      <c r="E9" s="55" t="s">
        <v>46</v>
      </c>
      <c r="F9" s="58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26" x14ac:dyDescent="0.25">
      <c r="C10" s="14" t="s">
        <v>24</v>
      </c>
      <c r="D10" s="15">
        <f>SUM(D7-(D8+D9))</f>
        <v>28870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26" x14ac:dyDescent="0.25">
      <c r="C11" s="17"/>
      <c r="D11" s="18"/>
      <c r="E11" s="18"/>
      <c r="F11" s="2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26" x14ac:dyDescent="0.25">
      <c r="C12" s="11" t="s">
        <v>18</v>
      </c>
      <c r="D12" s="12">
        <v>200</v>
      </c>
      <c r="E12" s="12">
        <v>8</v>
      </c>
      <c r="F12" s="13">
        <f t="shared" ref="F12:F16" si="0">D12*E12</f>
        <v>1600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26" x14ac:dyDescent="0.25">
      <c r="C13" s="23" t="s">
        <v>0</v>
      </c>
      <c r="D13" s="24">
        <v>250</v>
      </c>
      <c r="E13" s="24">
        <v>2</v>
      </c>
      <c r="F13" s="25">
        <f t="shared" si="0"/>
        <v>500</v>
      </c>
      <c r="G13" s="73"/>
      <c r="H13" s="73">
        <f>D8+D9</f>
        <v>16326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26" x14ac:dyDescent="0.25">
      <c r="C14" s="11" t="s">
        <v>1</v>
      </c>
      <c r="D14" s="12">
        <v>10</v>
      </c>
      <c r="E14" s="12">
        <v>9</v>
      </c>
      <c r="F14" s="13">
        <f t="shared" si="0"/>
        <v>90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26" x14ac:dyDescent="0.25">
      <c r="C15" s="23" t="s">
        <v>2</v>
      </c>
      <c r="D15" s="24">
        <v>1000</v>
      </c>
      <c r="E15" s="24">
        <v>2</v>
      </c>
      <c r="F15" s="25">
        <f t="shared" si="0"/>
        <v>2000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26" x14ac:dyDescent="0.25">
      <c r="C16" s="11" t="s">
        <v>3</v>
      </c>
      <c r="D16" s="12">
        <v>2000</v>
      </c>
      <c r="E16" s="12">
        <v>5</v>
      </c>
      <c r="F16" s="13">
        <f t="shared" si="0"/>
        <v>10000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1</v>
      </c>
      <c r="F18" s="13">
        <f t="shared" ref="F18:F22" si="1">D18*E18</f>
        <v>1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23" t="s">
        <v>25</v>
      </c>
      <c r="D19" s="24">
        <v>1</v>
      </c>
      <c r="E19" s="24">
        <v>3</v>
      </c>
      <c r="F19" s="25">
        <f t="shared" si="1"/>
        <v>3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23</v>
      </c>
      <c r="F20" s="13">
        <f t="shared" si="1"/>
        <v>92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23" t="s">
        <v>20</v>
      </c>
      <c r="D21" s="24">
        <v>5</v>
      </c>
      <c r="E21" s="24">
        <v>4</v>
      </c>
      <c r="F21" s="25">
        <f t="shared" si="1"/>
        <v>20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</row>
    <row r="22" spans="3:18" x14ac:dyDescent="0.25">
      <c r="C22" s="2" t="s">
        <v>27</v>
      </c>
      <c r="D22" s="5">
        <v>4</v>
      </c>
      <c r="E22" s="5">
        <v>5</v>
      </c>
      <c r="F22" s="3">
        <f t="shared" si="1"/>
        <v>20</v>
      </c>
      <c r="G22" s="76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24CF1-F63F-40DB-A82E-89E0B7FF95BD}">
  <sheetPr codeName="Sheet12"/>
  <dimension ref="A1:S22"/>
  <sheetViews>
    <sheetView showGridLines="0" topLeftCell="A3" zoomScaleNormal="100" workbookViewId="0">
      <selection activeCell="G22" sqref="G5:S22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19" hidden="1" x14ac:dyDescent="0.25">
      <c r="A1" s="9"/>
      <c r="B1" s="10"/>
    </row>
    <row r="2" spans="1:19" hidden="1" x14ac:dyDescent="0.25">
      <c r="A2" s="9"/>
      <c r="B2" s="10"/>
    </row>
    <row r="3" spans="1:19" x14ac:dyDescent="0.25">
      <c r="A3" s="7"/>
      <c r="B3" s="74" t="s">
        <v>6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8"/>
      <c r="S3" s="8"/>
    </row>
    <row r="4" spans="1:19" x14ac:dyDescent="0.25">
      <c r="A4" s="7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8"/>
      <c r="S4" s="8"/>
    </row>
    <row r="5" spans="1:19" x14ac:dyDescent="0.25"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</row>
    <row r="6" spans="1:19" x14ac:dyDescent="0.25">
      <c r="C6" s="38" t="s">
        <v>16</v>
      </c>
      <c r="D6" s="40" t="s">
        <v>15</v>
      </c>
      <c r="E6" s="40" t="s">
        <v>17</v>
      </c>
      <c r="F6" s="39" t="s">
        <v>47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</row>
    <row r="7" spans="1:19" x14ac:dyDescent="0.25">
      <c r="C7" s="11" t="s">
        <v>21</v>
      </c>
      <c r="D7" s="12">
        <f>Ekim!D10</f>
        <v>28870</v>
      </c>
      <c r="E7" s="55" t="s">
        <v>46</v>
      </c>
      <c r="F7" s="58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</row>
    <row r="8" spans="1:19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</row>
    <row r="9" spans="1:19" x14ac:dyDescent="0.25">
      <c r="C9" s="29" t="s">
        <v>23</v>
      </c>
      <c r="D9" s="30">
        <f>D12*E12+D13*E13+D14*E14+D15*E15+D16*E16+D18*E18+D19*E19+D20*E20+D21*E21+D22*E22</f>
        <v>10859</v>
      </c>
      <c r="E9" s="55" t="s">
        <v>46</v>
      </c>
      <c r="F9" s="58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</row>
    <row r="10" spans="1:19" x14ac:dyDescent="0.25">
      <c r="C10" s="14" t="s">
        <v>24</v>
      </c>
      <c r="D10" s="15">
        <f>SUM(D7-(D8+D9))</f>
        <v>16011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</row>
    <row r="11" spans="1:19" x14ac:dyDescent="0.25">
      <c r="C11" s="17"/>
      <c r="D11" s="18"/>
      <c r="E11" s="18"/>
      <c r="F11" s="2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</row>
    <row r="12" spans="1:19" x14ac:dyDescent="0.25">
      <c r="C12" s="11" t="s">
        <v>18</v>
      </c>
      <c r="D12" s="12">
        <v>178</v>
      </c>
      <c r="E12" s="12">
        <v>1</v>
      </c>
      <c r="F12" s="13">
        <f t="shared" ref="F12:F16" si="0">D12*E12</f>
        <v>178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</row>
    <row r="13" spans="1:19" x14ac:dyDescent="0.25">
      <c r="C13" s="23" t="s">
        <v>0</v>
      </c>
      <c r="D13" s="24">
        <v>250</v>
      </c>
      <c r="E13" s="24">
        <v>2</v>
      </c>
      <c r="F13" s="25">
        <f t="shared" si="0"/>
        <v>500</v>
      </c>
      <c r="G13" s="73"/>
      <c r="H13" s="73">
        <f>D8+D9</f>
        <v>12859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</row>
    <row r="14" spans="1:19" x14ac:dyDescent="0.25">
      <c r="C14" s="11" t="s">
        <v>1</v>
      </c>
      <c r="D14" s="12">
        <v>10</v>
      </c>
      <c r="E14" s="12">
        <v>3</v>
      </c>
      <c r="F14" s="13">
        <f t="shared" si="0"/>
        <v>30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</row>
    <row r="15" spans="1:19" x14ac:dyDescent="0.25">
      <c r="C15" s="23" t="s">
        <v>2</v>
      </c>
      <c r="D15" s="24">
        <v>1000</v>
      </c>
      <c r="E15" s="24">
        <v>4</v>
      </c>
      <c r="F15" s="25">
        <f t="shared" si="0"/>
        <v>4000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</row>
    <row r="16" spans="1:19" x14ac:dyDescent="0.25">
      <c r="C16" s="11" t="s">
        <v>3</v>
      </c>
      <c r="D16" s="12">
        <v>2000</v>
      </c>
      <c r="E16" s="12">
        <v>3</v>
      </c>
      <c r="F16" s="13">
        <f t="shared" si="0"/>
        <v>6000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</row>
    <row r="17" spans="2:19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</row>
    <row r="18" spans="2:19" x14ac:dyDescent="0.25">
      <c r="C18" s="11" t="s">
        <v>19</v>
      </c>
      <c r="D18" s="12">
        <v>1</v>
      </c>
      <c r="E18" s="12">
        <v>6</v>
      </c>
      <c r="F18" s="13">
        <f t="shared" ref="F18:F22" si="1">D18*E18</f>
        <v>6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</row>
    <row r="19" spans="2:19" x14ac:dyDescent="0.25">
      <c r="C19" s="23" t="s">
        <v>25</v>
      </c>
      <c r="D19" s="24">
        <v>8</v>
      </c>
      <c r="E19" s="24">
        <v>8</v>
      </c>
      <c r="F19" s="25">
        <f t="shared" si="1"/>
        <v>64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</row>
    <row r="20" spans="2:19" x14ac:dyDescent="0.25">
      <c r="B20" s="10"/>
      <c r="C20" s="11" t="s">
        <v>26</v>
      </c>
      <c r="D20" s="12">
        <v>4</v>
      </c>
      <c r="E20" s="12">
        <v>7</v>
      </c>
      <c r="F20" s="13">
        <f t="shared" si="1"/>
        <v>28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</row>
    <row r="21" spans="2:19" x14ac:dyDescent="0.25">
      <c r="C21" s="23" t="s">
        <v>20</v>
      </c>
      <c r="D21" s="24">
        <v>5</v>
      </c>
      <c r="E21" s="24">
        <v>9</v>
      </c>
      <c r="F21" s="25">
        <f t="shared" si="1"/>
        <v>45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</row>
    <row r="22" spans="2:19" x14ac:dyDescent="0.25">
      <c r="C22" s="2" t="s">
        <v>27</v>
      </c>
      <c r="D22" s="5">
        <v>4</v>
      </c>
      <c r="E22" s="5">
        <v>2</v>
      </c>
      <c r="F22" s="3">
        <f t="shared" si="1"/>
        <v>8</v>
      </c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503BE-5FEE-4ACF-8D3A-D51B856ABD5F}">
  <sheetPr codeName="Sheet13"/>
  <dimension ref="A1:V23"/>
  <sheetViews>
    <sheetView showGridLines="0" tabSelected="1" topLeftCell="A3" zoomScaleNormal="100" workbookViewId="0">
      <selection activeCell="H21" sqref="H21"/>
    </sheetView>
  </sheetViews>
  <sheetFormatPr defaultRowHeight="15" x14ac:dyDescent="0.25"/>
  <cols>
    <col min="1" max="1" width="22.42578125" style="1" customWidth="1"/>
    <col min="2" max="2" width="10.7109375" customWidth="1"/>
  </cols>
  <sheetData>
    <row r="1" spans="1:22" hidden="1" x14ac:dyDescent="0.25">
      <c r="A1" s="9"/>
      <c r="B1" s="10"/>
    </row>
    <row r="2" spans="1:22" hidden="1" x14ac:dyDescent="0.25">
      <c r="A2" s="9"/>
      <c r="B2" s="10"/>
    </row>
    <row r="3" spans="1:22" ht="15" customHeight="1" x14ac:dyDescent="0.25">
      <c r="A3" s="7"/>
      <c r="B3" s="74" t="s">
        <v>5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8"/>
      <c r="S3" s="8"/>
      <c r="T3" s="8"/>
      <c r="U3" s="8"/>
      <c r="V3" s="8"/>
    </row>
    <row r="4" spans="1:22" ht="15" customHeight="1" x14ac:dyDescent="0.25">
      <c r="A4" s="7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8"/>
      <c r="S4" s="8"/>
      <c r="T4" s="8"/>
      <c r="U4" s="8"/>
      <c r="V4" s="8"/>
    </row>
    <row r="6" spans="1:22" x14ac:dyDescent="0.25">
      <c r="C6" s="38" t="s">
        <v>16</v>
      </c>
      <c r="D6" s="40" t="s">
        <v>15</v>
      </c>
      <c r="E6" s="40" t="s">
        <v>17</v>
      </c>
      <c r="F6" s="39" t="s">
        <v>47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22" x14ac:dyDescent="0.25">
      <c r="C7" s="11" t="s">
        <v>21</v>
      </c>
      <c r="D7" s="12">
        <f>Kasım!D10</f>
        <v>16011</v>
      </c>
      <c r="E7" s="55" t="s">
        <v>46</v>
      </c>
      <c r="F7" s="58" t="s">
        <v>46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22" x14ac:dyDescent="0.25">
      <c r="C8" s="14" t="s">
        <v>22</v>
      </c>
      <c r="D8" s="15">
        <v>2000</v>
      </c>
      <c r="E8" s="56" t="s">
        <v>46</v>
      </c>
      <c r="F8" s="57" t="s">
        <v>46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22" x14ac:dyDescent="0.25">
      <c r="C9" s="29" t="s">
        <v>23</v>
      </c>
      <c r="D9" s="30">
        <f>D12*E12+D13*E13+D14*E14+D15*E15+D16*E16+D18*E18+D19*E19+D20*E20+D21*E21+D22*E22</f>
        <v>10620</v>
      </c>
      <c r="E9" s="55" t="s">
        <v>46</v>
      </c>
      <c r="F9" s="58" t="s">
        <v>46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22" x14ac:dyDescent="0.25">
      <c r="C10" s="14" t="s">
        <v>24</v>
      </c>
      <c r="D10" s="15">
        <f>SUM(D7-(D8+D9))</f>
        <v>3391</v>
      </c>
      <c r="E10" s="56" t="s">
        <v>46</v>
      </c>
      <c r="F10" s="57" t="s">
        <v>46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22" x14ac:dyDescent="0.25">
      <c r="C11" s="17"/>
      <c r="D11" s="18"/>
      <c r="E11" s="18"/>
      <c r="F11" s="2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22" x14ac:dyDescent="0.25">
      <c r="C12" s="11" t="s">
        <v>18</v>
      </c>
      <c r="D12" s="12">
        <v>34</v>
      </c>
      <c r="E12" s="12">
        <v>1</v>
      </c>
      <c r="F12" s="13">
        <f t="shared" ref="F12:F16" si="0">D12*E12</f>
        <v>34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22" x14ac:dyDescent="0.25">
      <c r="C13" s="23" t="s">
        <v>0</v>
      </c>
      <c r="D13" s="24">
        <v>250</v>
      </c>
      <c r="E13" s="24">
        <v>2</v>
      </c>
      <c r="F13" s="25">
        <f t="shared" si="0"/>
        <v>500</v>
      </c>
      <c r="G13" s="73"/>
      <c r="H13" s="73">
        <f>D8+D9</f>
        <v>12620</v>
      </c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22" x14ac:dyDescent="0.25">
      <c r="C14" s="11" t="s">
        <v>1</v>
      </c>
      <c r="D14" s="12">
        <v>10</v>
      </c>
      <c r="E14" s="12">
        <v>3</v>
      </c>
      <c r="F14" s="13">
        <f t="shared" si="0"/>
        <v>30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22" x14ac:dyDescent="0.25">
      <c r="C15" s="23" t="s">
        <v>2</v>
      </c>
      <c r="D15" s="24">
        <v>1000</v>
      </c>
      <c r="E15" s="24">
        <v>4</v>
      </c>
      <c r="F15" s="25">
        <f t="shared" si="0"/>
        <v>4000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22" x14ac:dyDescent="0.25">
      <c r="C16" s="11" t="s">
        <v>3</v>
      </c>
      <c r="D16" s="12">
        <v>2000</v>
      </c>
      <c r="E16" s="12">
        <v>3</v>
      </c>
      <c r="F16" s="13">
        <f t="shared" si="0"/>
        <v>6000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3:18" x14ac:dyDescent="0.25">
      <c r="C17" s="17"/>
      <c r="D17" s="18"/>
      <c r="E17" s="18"/>
      <c r="F17" s="22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3:18" x14ac:dyDescent="0.25">
      <c r="C18" s="11" t="s">
        <v>19</v>
      </c>
      <c r="D18" s="12">
        <v>1</v>
      </c>
      <c r="E18" s="12">
        <v>2</v>
      </c>
      <c r="F18" s="13">
        <f t="shared" ref="F18:F22" si="1">D18*E18</f>
        <v>2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</row>
    <row r="19" spans="3:18" x14ac:dyDescent="0.25">
      <c r="C19" s="23" t="s">
        <v>25</v>
      </c>
      <c r="D19" s="24">
        <v>1</v>
      </c>
      <c r="E19" s="24">
        <v>2</v>
      </c>
      <c r="F19" s="25">
        <f t="shared" si="1"/>
        <v>2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</row>
    <row r="20" spans="3:18" x14ac:dyDescent="0.25">
      <c r="C20" s="11" t="s">
        <v>26</v>
      </c>
      <c r="D20" s="12">
        <v>4</v>
      </c>
      <c r="E20" s="12">
        <v>3</v>
      </c>
      <c r="F20" s="13">
        <f t="shared" si="1"/>
        <v>12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</row>
    <row r="21" spans="3:18" x14ac:dyDescent="0.25">
      <c r="C21" s="23" t="s">
        <v>20</v>
      </c>
      <c r="D21" s="24">
        <v>5</v>
      </c>
      <c r="E21" s="24">
        <v>4</v>
      </c>
      <c r="F21" s="25">
        <f t="shared" si="1"/>
        <v>20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</row>
    <row r="22" spans="3:18" x14ac:dyDescent="0.25">
      <c r="C22" s="2" t="s">
        <v>27</v>
      </c>
      <c r="D22" s="5">
        <v>4</v>
      </c>
      <c r="E22" s="5">
        <v>5</v>
      </c>
      <c r="F22" s="3">
        <f t="shared" si="1"/>
        <v>20</v>
      </c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</row>
    <row r="23" spans="3:18" x14ac:dyDescent="0.25">
      <c r="G23" s="73"/>
      <c r="H23" s="76"/>
      <c r="I23" s="73"/>
      <c r="J23" s="73"/>
      <c r="K23" s="73"/>
      <c r="L23" s="73"/>
      <c r="M23" s="73"/>
      <c r="N23" s="73"/>
      <c r="O23" s="73"/>
      <c r="P23" s="73"/>
      <c r="Q23" s="73"/>
      <c r="R23" s="73"/>
    </row>
  </sheetData>
  <mergeCells count="1">
    <mergeCell ref="B3:Q4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Ana Sayfa</vt:lpstr>
      <vt:lpstr>Ocak</vt:lpstr>
      <vt:lpstr>Şubat</vt:lpstr>
      <vt:lpstr>Mart</vt:lpstr>
      <vt:lpstr>Nisan</vt:lpstr>
      <vt:lpstr>Mayıs</vt:lpstr>
      <vt:lpstr>Haziran</vt:lpstr>
      <vt:lpstr>Temmuz</vt:lpstr>
      <vt:lpstr>Ağustos</vt:lpstr>
      <vt:lpstr>Eylül</vt:lpstr>
      <vt:lpstr>Ekim</vt:lpstr>
      <vt:lpstr>Kasım</vt:lpstr>
      <vt:lpstr>Aralık</vt:lpstr>
    </vt:vector>
  </TitlesOfParts>
  <Company>Prometeon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Temizel Bilal (STAG), TR</dc:creator>
  <cp:lastModifiedBy>Temizel Bilal (STAG), TR</cp:lastModifiedBy>
  <dcterms:created xsi:type="dcterms:W3CDTF">2023-08-09T10:03:40Z</dcterms:created>
  <dcterms:modified xsi:type="dcterms:W3CDTF">2023-08-14T12:01:46Z</dcterms:modified>
</cp:coreProperties>
</file>